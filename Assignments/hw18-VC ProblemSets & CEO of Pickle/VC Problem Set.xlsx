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gloria/Desktop/UPenn/_EAS 5450/ASSIGNMENTS/#18/"/>
    </mc:Choice>
  </mc:AlternateContent>
  <xr:revisionPtr revIDLastSave="0" documentId="13_ncr:1_{A1D9B302-60E6-5648-A806-10DC06C0BEF3}" xr6:coauthVersionLast="47" xr6:coauthVersionMax="47" xr10:uidLastSave="{00000000-0000-0000-0000-000000000000}"/>
  <bookViews>
    <workbookView xWindow="4540" yWindow="500" windowWidth="27220" windowHeight="16940" activeTab="3" xr2:uid="{1D240600-3BEC-6A44-AB40-F1617F70031E}"/>
  </bookViews>
  <sheets>
    <sheet name="Information" sheetId="2" r:id="rId1"/>
    <sheet name="Q1&amp;Q2&amp;Q3" sheetId="4" r:id="rId2"/>
    <sheet name="Q4" sheetId="1" r:id="rId3"/>
    <sheet name="Q4 (2)" sheetId="8" r:id="rId4"/>
    <sheet name="Q5" sheetId="6" r:id="rId5"/>
    <sheet name="Q6" sheetId="7" r:id="rId6"/>
  </sheets>
  <definedNames>
    <definedName name="EpilogHarvest">#REF!</definedName>
    <definedName name="EpilogValuation">#REF!</definedName>
    <definedName name="InitShares">#REF!</definedName>
    <definedName name="NewShRd1">#REF!</definedName>
    <definedName name="NewShRd2">#REF!</definedName>
    <definedName name="NewShRd3">#REF!</definedName>
    <definedName name="Ownership_and_Dilution">#REF!</definedName>
    <definedName name="_xlnm.Print_Area" localSheetId="0">Information!$A$1:$J$27</definedName>
    <definedName name="Projected_Cash_Flows">#REF!</definedName>
    <definedName name="TermVal">#REF!</definedName>
    <definedName name="TotalShares">#REF!</definedName>
    <definedName name="TotalSharesWithNew">#REF!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 i="6" l="1"/>
  <c r="F29" i="8"/>
  <c r="E26" i="8"/>
  <c r="C25" i="8"/>
  <c r="B35" i="8"/>
  <c r="B36" i="8" s="1"/>
  <c r="F26" i="8"/>
  <c r="B17" i="8"/>
  <c r="I12" i="8"/>
  <c r="C11" i="8"/>
  <c r="B11" i="8"/>
  <c r="D10" i="8"/>
  <c r="D9" i="8"/>
  <c r="D8" i="8"/>
  <c r="D30" i="6"/>
  <c r="F48" i="1"/>
  <c r="E56" i="7"/>
  <c r="E55" i="7"/>
  <c r="E54" i="7"/>
  <c r="B46" i="7"/>
  <c r="D56" i="7"/>
  <c r="D55" i="7"/>
  <c r="D54" i="7"/>
  <c r="D49" i="7"/>
  <c r="D50" i="7"/>
  <c r="D51" i="7"/>
  <c r="D48" i="7"/>
  <c r="B41" i="7"/>
  <c r="B56" i="7"/>
  <c r="B55" i="7"/>
  <c r="B54" i="7"/>
  <c r="B35" i="7"/>
  <c r="B36" i="7" s="1"/>
  <c r="B48" i="6"/>
  <c r="B37" i="6"/>
  <c r="B39" i="6" s="1"/>
  <c r="B35" i="1"/>
  <c r="B36" i="1" s="1"/>
  <c r="C25" i="6"/>
  <c r="F25" i="6"/>
  <c r="F26" i="6" s="1"/>
  <c r="E25" i="6"/>
  <c r="E26" i="6" s="1"/>
  <c r="D26" i="6"/>
  <c r="F29" i="7"/>
  <c r="E26" i="7"/>
  <c r="D26" i="7"/>
  <c r="F25" i="7"/>
  <c r="F26" i="7" s="1"/>
  <c r="B17" i="7"/>
  <c r="B53" i="7" s="1"/>
  <c r="H12" i="7"/>
  <c r="C11" i="7"/>
  <c r="B31" i="7" s="1"/>
  <c r="B32" i="7" s="1"/>
  <c r="B11" i="7"/>
  <c r="D10" i="7"/>
  <c r="D9" i="7"/>
  <c r="D8" i="7"/>
  <c r="F29" i="6"/>
  <c r="B17" i="6"/>
  <c r="H12" i="6"/>
  <c r="C11" i="6"/>
  <c r="B31" i="6" s="1"/>
  <c r="B33" i="6" s="1"/>
  <c r="B11" i="6"/>
  <c r="D10" i="6"/>
  <c r="D9" i="6"/>
  <c r="D8" i="6"/>
  <c r="F29" i="1"/>
  <c r="B70" i="4"/>
  <c r="B69" i="4"/>
  <c r="E29" i="4"/>
  <c r="D27" i="4"/>
  <c r="C27" i="4"/>
  <c r="E26" i="4"/>
  <c r="E27" i="4" s="1"/>
  <c r="B18" i="4"/>
  <c r="G13" i="4"/>
  <c r="C12" i="4"/>
  <c r="B12" i="4"/>
  <c r="D11" i="4"/>
  <c r="D10" i="4"/>
  <c r="D9" i="4"/>
  <c r="F25" i="1"/>
  <c r="F26" i="1" s="1"/>
  <c r="D26" i="1"/>
  <c r="E26" i="1"/>
  <c r="H12" i="1"/>
  <c r="D9" i="1"/>
  <c r="D10" i="1"/>
  <c r="D5" i="2"/>
  <c r="D4" i="2"/>
  <c r="C11" i="1"/>
  <c r="B11" i="1"/>
  <c r="D8" i="1"/>
  <c r="B17" i="1"/>
  <c r="B25" i="2"/>
  <c r="D21" i="2"/>
  <c r="C6" i="2"/>
  <c r="B6" i="2"/>
  <c r="D3" i="2"/>
  <c r="F27" i="8" l="1"/>
  <c r="E29" i="8" s="1"/>
  <c r="E27" i="8"/>
  <c r="B31" i="8"/>
  <c r="B32" i="8" s="1"/>
  <c r="B31" i="1"/>
  <c r="B32" i="1" s="1"/>
  <c r="E27" i="7"/>
  <c r="D29" i="7" s="1"/>
  <c r="D30" i="7" s="1"/>
  <c r="F27" i="7"/>
  <c r="E29" i="7" s="1"/>
  <c r="D27" i="7"/>
  <c r="D28" i="7" s="1"/>
  <c r="E27" i="6"/>
  <c r="F27" i="6"/>
  <c r="F30" i="6" s="1"/>
  <c r="D27" i="6"/>
  <c r="E28" i="7"/>
  <c r="D27" i="1"/>
  <c r="B71" i="4"/>
  <c r="E28" i="4"/>
  <c r="C28" i="4"/>
  <c r="D28" i="4"/>
  <c r="C29" i="4" s="1"/>
  <c r="D29" i="4"/>
  <c r="E30" i="4"/>
  <c r="F27" i="1"/>
  <c r="E27" i="1"/>
  <c r="F30" i="8" l="1"/>
  <c r="F35" i="8" s="1"/>
  <c r="F36" i="8" s="1"/>
  <c r="F28" i="8"/>
  <c r="E28" i="8"/>
  <c r="E30" i="8"/>
  <c r="F28" i="6"/>
  <c r="D28" i="6"/>
  <c r="D29" i="6"/>
  <c r="E30" i="6"/>
  <c r="E37" i="6" s="1"/>
  <c r="E39" i="6" s="1"/>
  <c r="E30" i="1"/>
  <c r="D28" i="1"/>
  <c r="E29" i="1"/>
  <c r="F30" i="1"/>
  <c r="E30" i="7"/>
  <c r="F28" i="7"/>
  <c r="E28" i="6"/>
  <c r="D31" i="7"/>
  <c r="D32" i="7" s="1"/>
  <c r="D35" i="7"/>
  <c r="D36" i="7" s="1"/>
  <c r="H13" i="7" s="1"/>
  <c r="H14" i="7" s="1"/>
  <c r="E35" i="7"/>
  <c r="E36" i="7" s="1"/>
  <c r="F37" i="6"/>
  <c r="F39" i="6" s="1"/>
  <c r="E28" i="1"/>
  <c r="D29" i="1"/>
  <c r="F28" i="1"/>
  <c r="D30" i="4"/>
  <c r="C30" i="4"/>
  <c r="C31" i="4" s="1"/>
  <c r="C32" i="4" s="1"/>
  <c r="D35" i="4"/>
  <c r="D36" i="4" s="1"/>
  <c r="E35" i="4"/>
  <c r="E36" i="4" s="1"/>
  <c r="E31" i="8" l="1"/>
  <c r="E32" i="8" s="1"/>
  <c r="I13" i="8"/>
  <c r="I14" i="8" s="1"/>
  <c r="E35" i="8"/>
  <c r="E36" i="8" s="1"/>
  <c r="D31" i="6"/>
  <c r="D33" i="6" s="1"/>
  <c r="D37" i="6"/>
  <c r="D39" i="6" s="1"/>
  <c r="H13" i="6" s="1"/>
  <c r="H14" i="6" s="1"/>
  <c r="H15" i="6" s="1"/>
  <c r="E35" i="1"/>
  <c r="E36" i="1" s="1"/>
  <c r="D30" i="1"/>
  <c r="D31" i="1" s="1"/>
  <c r="F35" i="1"/>
  <c r="F36" i="1" s="1"/>
  <c r="F30" i="7"/>
  <c r="F35" i="7" s="1"/>
  <c r="F36" i="7" s="1"/>
  <c r="E31" i="7"/>
  <c r="E32" i="7" s="1"/>
  <c r="E31" i="6"/>
  <c r="E33" i="6" s="1"/>
  <c r="F31" i="7"/>
  <c r="F32" i="7" s="1"/>
  <c r="H15" i="7"/>
  <c r="C35" i="7"/>
  <c r="C36" i="7" s="1"/>
  <c r="C35" i="4"/>
  <c r="C36" i="4" s="1"/>
  <c r="G14" i="4" s="1"/>
  <c r="G15" i="4" s="1"/>
  <c r="B35" i="4" s="1"/>
  <c r="B36" i="4" s="1"/>
  <c r="D31" i="4"/>
  <c r="D32" i="4" s="1"/>
  <c r="D35" i="1"/>
  <c r="D36" i="1" s="1"/>
  <c r="H13" i="1" s="1"/>
  <c r="H14" i="1" s="1"/>
  <c r="C35" i="8" l="1"/>
  <c r="C36" i="8" s="1"/>
  <c r="I15" i="8"/>
  <c r="F31" i="8"/>
  <c r="F32" i="8" s="1"/>
  <c r="C37" i="6"/>
  <c r="C39" i="6" s="1"/>
  <c r="D32" i="1"/>
  <c r="E31" i="1"/>
  <c r="E32" i="1" s="1"/>
  <c r="C35" i="1"/>
  <c r="C36" i="1" s="1"/>
  <c r="F31" i="6"/>
  <c r="F33" i="6" s="1"/>
  <c r="C30" i="7"/>
  <c r="H16" i="7"/>
  <c r="C30" i="6"/>
  <c r="H16" i="6"/>
  <c r="G16" i="4"/>
  <c r="E31" i="4"/>
  <c r="E32" i="4" s="1"/>
  <c r="B30" i="4"/>
  <c r="G17" i="4"/>
  <c r="F31" i="1"/>
  <c r="F32" i="1" s="1"/>
  <c r="H15" i="1"/>
  <c r="C30" i="1" s="1"/>
  <c r="C30" i="8" l="1"/>
  <c r="I16" i="8"/>
  <c r="C33" i="7"/>
  <c r="H17" i="7"/>
  <c r="C35" i="6"/>
  <c r="H17" i="6"/>
  <c r="G18" i="4"/>
  <c r="B33" i="4"/>
  <c r="H16" i="1"/>
  <c r="C33" i="1" s="1"/>
  <c r="C33" i="8" l="1"/>
  <c r="I17" i="8"/>
  <c r="C50" i="1"/>
  <c r="C34" i="7"/>
  <c r="C51" i="7"/>
  <c r="D33" i="7"/>
  <c r="C36" i="6"/>
  <c r="C53" i="6"/>
  <c r="D35" i="6"/>
  <c r="D36" i="6" s="1"/>
  <c r="B34" i="4"/>
  <c r="C56" i="4"/>
  <c r="C33" i="4"/>
  <c r="C34" i="4" s="1"/>
  <c r="C34" i="1"/>
  <c r="D33" i="1"/>
  <c r="D34" i="1" s="1"/>
  <c r="H17" i="1"/>
  <c r="C50" i="8" l="1"/>
  <c r="C34" i="8"/>
  <c r="D34" i="7"/>
  <c r="C54" i="7"/>
  <c r="E33" i="7"/>
  <c r="C55" i="7" s="1"/>
  <c r="E35" i="6"/>
  <c r="E36" i="6" s="1"/>
  <c r="D33" i="4"/>
  <c r="D34" i="4" s="1"/>
  <c r="E33" i="1"/>
  <c r="E34" i="1" s="1"/>
  <c r="E33" i="8" l="1"/>
  <c r="E34" i="8" s="1"/>
  <c r="E34" i="7"/>
  <c r="F35" i="6"/>
  <c r="F36" i="6" s="1"/>
  <c r="F33" i="7"/>
  <c r="E33" i="4"/>
  <c r="E34" i="4" s="1"/>
  <c r="B39" i="4"/>
  <c r="B40" i="4" s="1"/>
  <c r="F33" i="1"/>
  <c r="F33" i="8" l="1"/>
  <c r="F34" i="8" s="1"/>
  <c r="B33" i="1"/>
  <c r="B33" i="7"/>
  <c r="C56" i="7"/>
  <c r="B34" i="7"/>
  <c r="B39" i="7"/>
  <c r="B40" i="7" s="1"/>
  <c r="B35" i="6"/>
  <c r="B42" i="6" s="1"/>
  <c r="B43" i="6" s="1"/>
  <c r="D51" i="6" s="1"/>
  <c r="E51" i="6" s="1"/>
  <c r="F34" i="7"/>
  <c r="D53" i="4"/>
  <c r="E53" i="4" s="1"/>
  <c r="D56" i="4"/>
  <c r="E56" i="4" s="1"/>
  <c r="E41" i="4"/>
  <c r="D41" i="4"/>
  <c r="C41" i="4"/>
  <c r="D55" i="4"/>
  <c r="E55" i="4" s="1"/>
  <c r="D54" i="4"/>
  <c r="E54" i="4" s="1"/>
  <c r="F34" i="1"/>
  <c r="B33" i="8" l="1"/>
  <c r="B36" i="6"/>
  <c r="B39" i="1"/>
  <c r="B40" i="1" s="1"/>
  <c r="B34" i="1"/>
  <c r="D52" i="6"/>
  <c r="E52" i="6" s="1"/>
  <c r="E44" i="6"/>
  <c r="D53" i="6"/>
  <c r="E53" i="6" s="1"/>
  <c r="D50" i="6"/>
  <c r="E50" i="6" s="1"/>
  <c r="D44" i="6"/>
  <c r="F44" i="6"/>
  <c r="E48" i="7"/>
  <c r="E49" i="7"/>
  <c r="E51" i="7"/>
  <c r="E42" i="7"/>
  <c r="D42" i="7"/>
  <c r="C42" i="7"/>
  <c r="E50" i="7"/>
  <c r="B34" i="8" l="1"/>
  <c r="B39" i="8"/>
  <c r="B40" i="8" s="1"/>
  <c r="E41" i="1"/>
  <c r="D48" i="1"/>
  <c r="E48" i="1" s="1"/>
  <c r="D49" i="1"/>
  <c r="E49" i="1" s="1"/>
  <c r="D47" i="1"/>
  <c r="E47" i="1" s="1"/>
  <c r="D41" i="1"/>
  <c r="F41" i="1"/>
  <c r="D50" i="1"/>
  <c r="E50" i="1" s="1"/>
  <c r="D50" i="8" l="1"/>
  <c r="E50" i="8" s="1"/>
  <c r="D47" i="8"/>
  <c r="E47" i="8" s="1"/>
  <c r="G41" i="8"/>
  <c r="F41" i="8"/>
  <c r="D49" i="8"/>
  <c r="E49" i="8" s="1"/>
  <c r="D41" i="8"/>
  <c r="D48" i="8"/>
  <c r="F48" i="8" l="1"/>
  <c r="E48" i="8"/>
</calcChain>
</file>

<file path=xl/sharedStrings.xml><?xml version="1.0" encoding="utf-8"?>
<sst xmlns="http://schemas.openxmlformats.org/spreadsheetml/2006/main" count="446" uniqueCount="91">
  <si>
    <t>/</t>
  </si>
  <si>
    <t>Investment</t>
  </si>
  <si>
    <t>Shares</t>
  </si>
  <si>
    <t>Price/Share</t>
  </si>
  <si>
    <t>Series A</t>
  </si>
  <si>
    <t>Total</t>
  </si>
  <si>
    <t>Copyright 2022 Jeffrey Babin, Penn Engineering Entrepreneurship. All Rights reserved.</t>
  </si>
  <si>
    <t>Kenneth</t>
  </si>
  <si>
    <t>Founder A</t>
  </si>
  <si>
    <t>Founder B</t>
  </si>
  <si>
    <t>post-money SAFE</t>
  </si>
  <si>
    <t>20% discount to next-round price</t>
  </si>
  <si>
    <t>$4,000,000 post-money valuation cap</t>
  </si>
  <si>
    <t>Series A (March 2025)</t>
  </si>
  <si>
    <t>Founding (March 2024)</t>
  </si>
  <si>
    <t>Angel SAFE (March 2024)</t>
  </si>
  <si>
    <t>receive 150% of the $400k principal if acquired before next round</t>
  </si>
  <si>
    <t>Time to exit (years)</t>
  </si>
  <si>
    <t>Series C (March 2028)</t>
  </si>
  <si>
    <t>Series B (March 2027)</t>
  </si>
  <si>
    <t>Exit year = 2030</t>
  </si>
  <si>
    <t>Purpose</t>
  </si>
  <si>
    <t>Hiring production engineers and marketing personnel</t>
  </si>
  <si>
    <t>Hiring development engineers</t>
  </si>
  <si>
    <t>Fund expansion</t>
  </si>
  <si>
    <t>Series</t>
  </si>
  <si>
    <t>Exit</t>
  </si>
  <si>
    <t>P/R</t>
  </si>
  <si>
    <t>Terminal Value V_N</t>
  </si>
  <si>
    <t>Annual earning (E_N)</t>
  </si>
  <si>
    <t>Sales revenue (R_N)</t>
  </si>
  <si>
    <t>Return on Investment (ROI)</t>
  </si>
  <si>
    <t>Investment (I0)</t>
  </si>
  <si>
    <t>Time to exit (N)</t>
  </si>
  <si>
    <t>Target Value (VI_N)</t>
  </si>
  <si>
    <t>%N = VI_N/V_N</t>
  </si>
  <si>
    <t>From this, we can see that %N = VI_N/V_N</t>
  </si>
  <si>
    <t>Pre-money Valuation</t>
  </si>
  <si>
    <t>Post-money Valuation</t>
  </si>
  <si>
    <t>Retention</t>
  </si>
  <si>
    <t>% Acquired</t>
  </si>
  <si>
    <t>Assume 500,000 shares have been issued (e.g., founders’ shares) prior to this round of investment</t>
  </si>
  <si>
    <t xml:space="preserve">Discount </t>
  </si>
  <si>
    <t>Post-money valuation cap</t>
  </si>
  <si>
    <t>minimum trigger = $1,000,000</t>
  </si>
  <si>
    <t>Minimum Conversion Trigger</t>
  </si>
  <si>
    <t>Conversion Triggered after A?</t>
  </si>
  <si>
    <t>Seed investor’s ownership upon conversion is decided on discount to the next round’s valuation or valuation cap, which ever is lower</t>
  </si>
  <si>
    <t>%Acquired_SAFE</t>
  </si>
  <si>
    <t>Post-Money SAFE_final</t>
  </si>
  <si>
    <t>Post-Money Valuation_SAFE</t>
  </si>
  <si>
    <t>Principal</t>
  </si>
  <si>
    <t>#Share (S_SAFE)</t>
  </si>
  <si>
    <t>Seed (March 2024)</t>
  </si>
  <si>
    <t>Price per Share (P_SAFE)</t>
  </si>
  <si>
    <t># New Shares Purchased (wo. SAFE)</t>
  </si>
  <si>
    <t># New Shares Purchased (with SAFE)</t>
  </si>
  <si>
    <t>Price per Share (wo. SAFE)</t>
  </si>
  <si>
    <t>Price per Share (with SAFE)</t>
  </si>
  <si>
    <t>Terminal Price per Share</t>
  </si>
  <si>
    <t>ROI check</t>
  </si>
  <si>
    <t>Total #Shares</t>
  </si>
  <si>
    <t>The results match the desired returns sought by Series A, Series B and Series C investors.</t>
  </si>
  <si>
    <t>Cathy (SAFE)</t>
  </si>
  <si>
    <t>Terminal Distribution</t>
  </si>
  <si>
    <t>Overall return</t>
  </si>
  <si>
    <t>Investor</t>
  </si>
  <si>
    <t>Number of years (2024 to 2030)</t>
  </si>
  <si>
    <t>Rate of Return (IRR)</t>
  </si>
  <si>
    <t>Q1</t>
  </si>
  <si>
    <t>Q2</t>
  </si>
  <si>
    <t>Q3</t>
  </si>
  <si>
    <t>ROI</t>
  </si>
  <si>
    <t>N (2025 to 2030)</t>
  </si>
  <si>
    <t>Terminal Value (V_N)</t>
  </si>
  <si>
    <t>Terminal Ownership (%N)</t>
  </si>
  <si>
    <t>Terminal Ownership (w.o. option)</t>
  </si>
  <si>
    <t>Terminal Ownership (with option)</t>
  </si>
  <si>
    <t>Option pool</t>
  </si>
  <si>
    <t>Founders (March 2024)</t>
  </si>
  <si>
    <t>Q4</t>
  </si>
  <si>
    <t>Exit year = 2032</t>
  </si>
  <si>
    <t>Series B</t>
  </si>
  <si>
    <t>Series C</t>
  </si>
  <si>
    <t>Number of years (2024 to 2032)</t>
  </si>
  <si>
    <t>Amount to split after  liquid pref</t>
  </si>
  <si>
    <t>Terminal Price/Share (after liquid pref)</t>
  </si>
  <si>
    <t>Q5</t>
  </si>
  <si>
    <t>(total) 2934000</t>
  </si>
  <si>
    <t>Q6</t>
  </si>
  <si>
    <t>all series A unchanged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</si>
</sst>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409]#,##0.00"/>
    <numFmt numFmtId="168" formatCode="[$$-409]#,##0"/>
    <numFmt numFmtId="169" formatCode="[$$-409]#,##0.000"/>
    <numFmt numFmtId="170" formatCode="0.000"/>
  </numFmts>
  <fonts count="16" x14ac:knownFonts="1">
    <font>
      <sz val="12"/>
      <color theme="1"/>
      <name val="Aptos Narrow"/>
      <family val="2"/>
      <scheme val="minor"/>
    </font>
    <font>
      <sz val="10"/>
      <name val="Arial"/>
      <family val="2"/>
    </font>
    <font>
      <sz val="11"/>
      <color theme="1"/>
      <name val="Aptos Narrow"/>
      <family val="2"/>
      <scheme val="minor"/>
    </font>
    <font>
      <sz val="11"/>
      <color theme="1"/>
      <name val="Times New Roman"/>
      <family val="1"/>
    </font>
    <font>
      <b/>
      <sz val="11"/>
      <color theme="1"/>
      <name val="Times New Roman"/>
      <family val="1"/>
    </font>
    <font>
      <b/>
      <u val="singleAccounting"/>
      <sz val="11"/>
      <color theme="1"/>
      <name val="Times New Roman"/>
      <family val="1"/>
    </font>
    <font>
      <sz val="12"/>
      <color theme="1"/>
      <name val="Times New Roman"/>
      <family val="1"/>
    </font>
    <font>
      <sz val="11"/>
      <color rgb="FFFF0000"/>
      <name val="Times New Roman"/>
      <family val="1"/>
    </font>
    <font>
      <sz val="12"/>
      <color rgb="FFFF0000"/>
      <name val="Times New Roman"/>
      <family val="1"/>
    </font>
    <font>
      <b/>
      <sz val="12"/>
      <color theme="1"/>
      <name val="Times New Roman"/>
      <family val="1"/>
    </font>
    <font>
      <sz val="12"/>
      <color rgb="FF000000"/>
      <name val="Times New Roman"/>
      <family val="1"/>
    </font>
    <font>
      <b/>
      <sz val="12"/>
      <color rgb="FF000000"/>
      <name val="Times New Roman"/>
      <family val="1"/>
    </font>
    <font>
      <b/>
      <u val="singleAccounting"/>
      <sz val="12"/>
      <color theme="1"/>
      <name val="Times New Roman"/>
      <family val="1"/>
    </font>
    <font>
      <b/>
      <u/>
      <sz val="12"/>
      <color theme="1"/>
      <name val="Times New Roman"/>
      <family val="1"/>
    </font>
    <font>
      <b/>
      <sz val="18"/>
      <color rgb="FFFF0000"/>
      <name val="Times New Roman"/>
      <family val="1"/>
    </font>
    <font>
      <sz val="12"/>
      <color theme="5"/>
      <name val="Times New Roman"/>
      <family val="1"/>
    </font>
  </fonts>
  <fills count="7">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2"/>
        <bgColor indexed="64"/>
      </patternFill>
    </fill>
    <fill>
      <patternFill patternType="solid">
        <fgColor theme="3" tint="0.749992370372631"/>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8">
    <xf numFmtId="0" fontId="0" fillId="0" borderId="0"/>
    <xf numFmtId="0" fontId="2" fillId="0" borderId="0"/>
    <xf numFmtId="44"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cellStyleXfs>
  <cellXfs count="121">
    <xf numFmtId="0" fontId="0" fillId="0" borderId="0" xfId="0"/>
    <xf numFmtId="164" fontId="6" fillId="0" borderId="0" xfId="2" applyNumberFormat="1" applyFont="1" applyFill="1"/>
    <xf numFmtId="166" fontId="7" fillId="0" borderId="0" xfId="3" applyNumberFormat="1" applyFont="1" applyFill="1"/>
    <xf numFmtId="164" fontId="6" fillId="0" borderId="0" xfId="2" applyNumberFormat="1" applyFont="1" applyFill="1" applyBorder="1"/>
    <xf numFmtId="165" fontId="6" fillId="0" borderId="0" xfId="3" applyNumberFormat="1" applyFont="1" applyFill="1" applyBorder="1"/>
    <xf numFmtId="0" fontId="3" fillId="0" borderId="0" xfId="1" applyFont="1"/>
    <xf numFmtId="0" fontId="4" fillId="0" borderId="1" xfId="1" applyFont="1" applyBorder="1"/>
    <xf numFmtId="0" fontId="5" fillId="0" borderId="1" xfId="1" applyFont="1" applyBorder="1"/>
    <xf numFmtId="0" fontId="5" fillId="0" borderId="0" xfId="1" applyFont="1"/>
    <xf numFmtId="0" fontId="3" fillId="0" borderId="1" xfId="1" applyFont="1" applyBorder="1"/>
    <xf numFmtId="0" fontId="4" fillId="0" borderId="0" xfId="1" applyFont="1"/>
    <xf numFmtId="0" fontId="7" fillId="0" borderId="0" xfId="1" applyFont="1"/>
    <xf numFmtId="164" fontId="3" fillId="0" borderId="0" xfId="1" applyNumberFormat="1" applyFont="1"/>
    <xf numFmtId="164" fontId="3" fillId="0" borderId="1" xfId="2" applyNumberFormat="1" applyFont="1" applyFill="1" applyBorder="1"/>
    <xf numFmtId="165" fontId="3" fillId="0" borderId="1" xfId="3" applyNumberFormat="1" applyFont="1" applyFill="1" applyBorder="1"/>
    <xf numFmtId="44" fontId="3" fillId="0" borderId="1" xfId="2" applyFont="1" applyFill="1" applyBorder="1"/>
    <xf numFmtId="165" fontId="3" fillId="0" borderId="0" xfId="3" applyNumberFormat="1" applyFont="1" applyFill="1"/>
    <xf numFmtId="164" fontId="3" fillId="0" borderId="1" xfId="2" quotePrefix="1" applyNumberFormat="1" applyFont="1" applyFill="1" applyBorder="1"/>
    <xf numFmtId="164" fontId="3" fillId="0" borderId="0" xfId="2" applyNumberFormat="1" applyFont="1" applyFill="1"/>
    <xf numFmtId="0" fontId="3" fillId="0" borderId="0" xfId="2" applyNumberFormat="1" applyFont="1" applyFill="1"/>
    <xf numFmtId="3" fontId="3" fillId="0" borderId="1" xfId="1" applyNumberFormat="1" applyFont="1" applyBorder="1"/>
    <xf numFmtId="0" fontId="3" fillId="0" borderId="1" xfId="1" applyFont="1" applyBorder="1" applyAlignment="1">
      <alignment horizontal="left" vertical="center"/>
    </xf>
    <xf numFmtId="0" fontId="3" fillId="0" borderId="1" xfId="2" applyNumberFormat="1" applyFont="1" applyFill="1" applyBorder="1" applyAlignment="1">
      <alignment horizontal="left" vertical="center" wrapText="1"/>
    </xf>
    <xf numFmtId="9" fontId="3" fillId="0" borderId="1" xfId="2" applyNumberFormat="1" applyFont="1" applyFill="1" applyBorder="1"/>
    <xf numFmtId="9" fontId="3" fillId="0" borderId="1" xfId="1" applyNumberFormat="1" applyFont="1" applyBorder="1"/>
    <xf numFmtId="0" fontId="3" fillId="0" borderId="1" xfId="2" applyNumberFormat="1" applyFont="1" applyFill="1" applyBorder="1"/>
    <xf numFmtId="0" fontId="6" fillId="0" borderId="0" xfId="0" applyFont="1"/>
    <xf numFmtId="0" fontId="8" fillId="0" borderId="0" xfId="0" applyFont="1"/>
    <xf numFmtId="0" fontId="6" fillId="0" borderId="1" xfId="0" applyFont="1" applyBorder="1"/>
    <xf numFmtId="0" fontId="9" fillId="0" borderId="1" xfId="0" applyFont="1" applyBorder="1"/>
    <xf numFmtId="0" fontId="9" fillId="0" borderId="0" xfId="1" applyFont="1"/>
    <xf numFmtId="0" fontId="6" fillId="0" borderId="0" xfId="1" applyFont="1"/>
    <xf numFmtId="0" fontId="6" fillId="0" borderId="1" xfId="1" applyFont="1" applyBorder="1"/>
    <xf numFmtId="0" fontId="9" fillId="0" borderId="1" xfId="1" applyFont="1" applyBorder="1"/>
    <xf numFmtId="0" fontId="9" fillId="0" borderId="0" xfId="0" applyFont="1"/>
    <xf numFmtId="0" fontId="9" fillId="0" borderId="3" xfId="0" applyFont="1" applyBorder="1"/>
    <xf numFmtId="164" fontId="6" fillId="0" borderId="0" xfId="1" applyNumberFormat="1" applyFont="1"/>
    <xf numFmtId="0" fontId="9" fillId="0" borderId="1" xfId="1" applyFont="1" applyBorder="1" applyAlignment="1">
      <alignment horizontal="left" vertical="center"/>
    </xf>
    <xf numFmtId="9" fontId="6" fillId="0" borderId="1" xfId="0" applyNumberFormat="1" applyFont="1" applyBorder="1"/>
    <xf numFmtId="168" fontId="6" fillId="3" borderId="1" xfId="0" applyNumberFormat="1" applyFont="1" applyFill="1" applyBorder="1" applyAlignment="1">
      <alignment horizontal="right"/>
    </xf>
    <xf numFmtId="9" fontId="6" fillId="3" borderId="1" xfId="0" applyNumberFormat="1" applyFont="1" applyFill="1" applyBorder="1"/>
    <xf numFmtId="0" fontId="11" fillId="0" borderId="1" xfId="0" applyFont="1" applyBorder="1"/>
    <xf numFmtId="0" fontId="11" fillId="0" borderId="3" xfId="0" applyFont="1" applyBorder="1"/>
    <xf numFmtId="166" fontId="6" fillId="3" borderId="1" xfId="0" applyNumberFormat="1" applyFont="1" applyFill="1" applyBorder="1"/>
    <xf numFmtId="168" fontId="6" fillId="0" borderId="0" xfId="0" applyNumberFormat="1" applyFont="1"/>
    <xf numFmtId="165" fontId="6" fillId="3" borderId="1" xfId="3" applyNumberFormat="1" applyFont="1" applyFill="1" applyBorder="1"/>
    <xf numFmtId="168" fontId="6" fillId="4" borderId="1" xfId="0" applyNumberFormat="1" applyFont="1" applyFill="1" applyBorder="1" applyAlignment="1">
      <alignment horizontal="right"/>
    </xf>
    <xf numFmtId="165" fontId="6" fillId="4" borderId="1" xfId="3" applyNumberFormat="1" applyFont="1" applyFill="1" applyBorder="1"/>
    <xf numFmtId="0" fontId="6" fillId="4" borderId="1" xfId="2" applyNumberFormat="1" applyFont="1" applyFill="1" applyBorder="1" applyAlignment="1">
      <alignment horizontal="left" vertical="center" wrapText="1"/>
    </xf>
    <xf numFmtId="0" fontId="6" fillId="4" borderId="1" xfId="1" applyFont="1" applyFill="1" applyBorder="1" applyAlignment="1">
      <alignment horizontal="left" vertical="center"/>
    </xf>
    <xf numFmtId="9" fontId="6" fillId="4" borderId="1" xfId="2" applyNumberFormat="1" applyFont="1" applyFill="1" applyBorder="1"/>
    <xf numFmtId="9" fontId="6" fillId="4" borderId="1" xfId="1" applyNumberFormat="1" applyFont="1" applyFill="1" applyBorder="1"/>
    <xf numFmtId="0" fontId="6" fillId="4" borderId="1" xfId="2" applyNumberFormat="1" applyFont="1" applyFill="1" applyBorder="1"/>
    <xf numFmtId="0" fontId="6" fillId="4" borderId="1" xfId="1" applyFont="1" applyFill="1" applyBorder="1"/>
    <xf numFmtId="168" fontId="6" fillId="4" borderId="1" xfId="0" applyNumberFormat="1" applyFont="1" applyFill="1" applyBorder="1"/>
    <xf numFmtId="0" fontId="9" fillId="5" borderId="1" xfId="1" applyFont="1" applyFill="1" applyBorder="1"/>
    <xf numFmtId="0" fontId="12" fillId="5" borderId="1" xfId="1" applyFont="1" applyFill="1" applyBorder="1"/>
    <xf numFmtId="0" fontId="13" fillId="5" borderId="1" xfId="1" applyFont="1" applyFill="1" applyBorder="1" applyAlignment="1">
      <alignment vertical="center"/>
    </xf>
    <xf numFmtId="9" fontId="6" fillId="6" borderId="1" xfId="2" applyNumberFormat="1" applyFont="1" applyFill="1" applyBorder="1"/>
    <xf numFmtId="166" fontId="6" fillId="6" borderId="1" xfId="0" applyNumberFormat="1" applyFont="1" applyFill="1" applyBorder="1" applyAlignment="1">
      <alignment horizontal="right"/>
    </xf>
    <xf numFmtId="166" fontId="6" fillId="6" borderId="1" xfId="0" applyNumberFormat="1" applyFont="1" applyFill="1" applyBorder="1"/>
    <xf numFmtId="170" fontId="6" fillId="6" borderId="1" xfId="0" applyNumberFormat="1" applyFont="1" applyFill="1" applyBorder="1"/>
    <xf numFmtId="169" fontId="6" fillId="6" borderId="1" xfId="0" applyNumberFormat="1" applyFont="1" applyFill="1" applyBorder="1"/>
    <xf numFmtId="10" fontId="6" fillId="6" borderId="1" xfId="1" applyNumberFormat="1" applyFont="1" applyFill="1" applyBorder="1"/>
    <xf numFmtId="10" fontId="6" fillId="0" borderId="1" xfId="0" applyNumberFormat="1" applyFont="1" applyBorder="1"/>
    <xf numFmtId="10" fontId="6" fillId="6" borderId="1" xfId="0" applyNumberFormat="1" applyFont="1" applyFill="1" applyBorder="1"/>
    <xf numFmtId="168" fontId="6" fillId="6" borderId="1" xfId="0" applyNumberFormat="1" applyFont="1" applyFill="1" applyBorder="1"/>
    <xf numFmtId="0" fontId="10" fillId="4" borderId="1" xfId="0" applyFont="1" applyFill="1" applyBorder="1" applyAlignment="1">
      <alignment horizontal="right"/>
    </xf>
    <xf numFmtId="165" fontId="6" fillId="6" borderId="1" xfId="3" applyNumberFormat="1" applyFont="1" applyFill="1" applyBorder="1"/>
    <xf numFmtId="166" fontId="8" fillId="2" borderId="1" xfId="0" applyNumberFormat="1" applyFont="1" applyFill="1" applyBorder="1"/>
    <xf numFmtId="169" fontId="6" fillId="3" borderId="1" xfId="0" applyNumberFormat="1" applyFont="1" applyFill="1" applyBorder="1" applyAlignment="1">
      <alignment horizontal="right"/>
    </xf>
    <xf numFmtId="2" fontId="6" fillId="3" borderId="1" xfId="0" applyNumberFormat="1" applyFont="1" applyFill="1" applyBorder="1"/>
    <xf numFmtId="2" fontId="6" fillId="6" borderId="1" xfId="0" applyNumberFormat="1" applyFont="1" applyFill="1" applyBorder="1"/>
    <xf numFmtId="10" fontId="6" fillId="3" borderId="1" xfId="0" applyNumberFormat="1" applyFont="1" applyFill="1" applyBorder="1"/>
    <xf numFmtId="2" fontId="8" fillId="2" borderId="1" xfId="0" applyNumberFormat="1" applyFont="1" applyFill="1" applyBorder="1"/>
    <xf numFmtId="10" fontId="8" fillId="3" borderId="1" xfId="0" applyNumberFormat="1" applyFont="1" applyFill="1" applyBorder="1"/>
    <xf numFmtId="2" fontId="8" fillId="3" borderId="1" xfId="0" applyNumberFormat="1" applyFont="1" applyFill="1" applyBorder="1"/>
    <xf numFmtId="166" fontId="8" fillId="3" borderId="1" xfId="0" applyNumberFormat="1" applyFont="1" applyFill="1" applyBorder="1"/>
    <xf numFmtId="0" fontId="9" fillId="2" borderId="1" xfId="0" applyFont="1" applyFill="1" applyBorder="1"/>
    <xf numFmtId="0" fontId="6" fillId="0" borderId="0" xfId="0" applyFont="1" applyAlignment="1">
      <alignment horizontal="left"/>
    </xf>
    <xf numFmtId="166" fontId="8" fillId="3" borderId="1" xfId="0" applyNumberFormat="1" applyFont="1" applyFill="1" applyBorder="1" applyAlignment="1">
      <alignment horizontal="right"/>
    </xf>
    <xf numFmtId="0" fontId="14" fillId="2" borderId="0" xfId="0" applyFont="1" applyFill="1"/>
    <xf numFmtId="9" fontId="6" fillId="4" borderId="1" xfId="0" applyNumberFormat="1" applyFont="1" applyFill="1" applyBorder="1" applyAlignment="1">
      <alignment horizontal="right"/>
    </xf>
    <xf numFmtId="9" fontId="9" fillId="0" borderId="0" xfId="1" applyNumberFormat="1" applyFont="1" applyAlignment="1">
      <alignment horizontal="left"/>
    </xf>
    <xf numFmtId="10" fontId="6" fillId="0" borderId="0" xfId="0" applyNumberFormat="1" applyFont="1"/>
    <xf numFmtId="168" fontId="6" fillId="4" borderId="2" xfId="0" applyNumberFormat="1" applyFont="1" applyFill="1" applyBorder="1"/>
    <xf numFmtId="0" fontId="9" fillId="0" borderId="2" xfId="1" applyFont="1" applyBorder="1" applyAlignment="1">
      <alignment horizontal="left" vertical="center"/>
    </xf>
    <xf numFmtId="0" fontId="9" fillId="0" borderId="2" xfId="1" applyFont="1" applyBorder="1"/>
    <xf numFmtId="0" fontId="9" fillId="0" borderId="2" xfId="0" applyFont="1" applyBorder="1"/>
    <xf numFmtId="10" fontId="6" fillId="6" borderId="2" xfId="0" applyNumberFormat="1" applyFont="1" applyFill="1" applyBorder="1"/>
    <xf numFmtId="0" fontId="6" fillId="0" borderId="2" xfId="0" applyFont="1" applyBorder="1"/>
    <xf numFmtId="2" fontId="6" fillId="6" borderId="2" xfId="0" applyNumberFormat="1" applyFont="1" applyFill="1" applyBorder="1"/>
    <xf numFmtId="166" fontId="6" fillId="6" borderId="2" xfId="0" applyNumberFormat="1" applyFont="1" applyFill="1" applyBorder="1"/>
    <xf numFmtId="168" fontId="6" fillId="6" borderId="2" xfId="0" applyNumberFormat="1" applyFont="1" applyFill="1" applyBorder="1"/>
    <xf numFmtId="168" fontId="6" fillId="0" borderId="1" xfId="0" applyNumberFormat="1" applyFont="1" applyBorder="1"/>
    <xf numFmtId="43" fontId="6" fillId="0" borderId="1" xfId="0" applyNumberFormat="1" applyFont="1" applyBorder="1"/>
    <xf numFmtId="166" fontId="6" fillId="0" borderId="2" xfId="0" applyNumberFormat="1" applyFont="1" applyBorder="1"/>
    <xf numFmtId="43" fontId="8" fillId="3" borderId="1" xfId="0" applyNumberFormat="1" applyFont="1" applyFill="1" applyBorder="1"/>
    <xf numFmtId="0" fontId="12" fillId="0" borderId="0" xfId="1" applyFont="1"/>
    <xf numFmtId="10" fontId="8" fillId="0" borderId="0" xfId="0" applyNumberFormat="1" applyFont="1"/>
    <xf numFmtId="2" fontId="6" fillId="0" borderId="1" xfId="0" applyNumberFormat="1" applyFont="1" applyBorder="1"/>
    <xf numFmtId="168" fontId="6" fillId="0" borderId="0" xfId="0" applyNumberFormat="1" applyFont="1" applyAlignment="1">
      <alignment horizontal="left"/>
    </xf>
    <xf numFmtId="166" fontId="8" fillId="0" borderId="0" xfId="0" applyNumberFormat="1" applyFont="1" applyAlignment="1">
      <alignment horizontal="right"/>
    </xf>
    <xf numFmtId="10" fontId="8" fillId="2" borderId="1" xfId="0" applyNumberFormat="1" applyFont="1" applyFill="1" applyBorder="1"/>
    <xf numFmtId="166" fontId="8" fillId="2" borderId="0" xfId="0" applyNumberFormat="1" applyFont="1" applyFill="1"/>
    <xf numFmtId="0" fontId="6" fillId="2" borderId="0" xfId="0" applyFont="1" applyFill="1"/>
    <xf numFmtId="10" fontId="6" fillId="2" borderId="0" xfId="0" applyNumberFormat="1" applyFont="1" applyFill="1"/>
    <xf numFmtId="9" fontId="6" fillId="0" borderId="0" xfId="0" applyNumberFormat="1" applyFont="1" applyAlignment="1">
      <alignment horizontal="left"/>
    </xf>
    <xf numFmtId="2" fontId="15" fillId="2" borderId="1" xfId="0" applyNumberFormat="1" applyFont="1" applyFill="1" applyBorder="1"/>
    <xf numFmtId="166" fontId="15" fillId="2" borderId="1" xfId="0" applyNumberFormat="1" applyFont="1" applyFill="1" applyBorder="1"/>
    <xf numFmtId="10" fontId="15" fillId="3" borderId="1" xfId="0" applyNumberFormat="1" applyFont="1" applyFill="1" applyBorder="1"/>
    <xf numFmtId="0" fontId="15" fillId="2" borderId="0" xfId="0" applyFont="1" applyFill="1"/>
    <xf numFmtId="0" fontId="12" fillId="5" borderId="0" xfId="1" applyFont="1" applyFill="1" applyBorder="1"/>
    <xf numFmtId="169" fontId="6" fillId="3" borderId="0" xfId="0" applyNumberFormat="1" applyFont="1" applyFill="1" applyBorder="1" applyAlignment="1">
      <alignment horizontal="right"/>
    </xf>
    <xf numFmtId="0" fontId="6" fillId="0" borderId="0" xfId="1" applyFont="1" applyBorder="1"/>
    <xf numFmtId="10" fontId="8" fillId="4" borderId="1" xfId="0" applyNumberFormat="1" applyFont="1" applyFill="1" applyBorder="1"/>
    <xf numFmtId="10" fontId="6" fillId="4" borderId="1" xfId="0" applyNumberFormat="1" applyFont="1" applyFill="1" applyBorder="1"/>
    <xf numFmtId="2" fontId="6" fillId="4" borderId="1" xfId="0" applyNumberFormat="1" applyFont="1" applyFill="1" applyBorder="1"/>
    <xf numFmtId="166" fontId="6" fillId="4" borderId="1" xfId="0" applyNumberFormat="1" applyFont="1" applyFill="1" applyBorder="1"/>
    <xf numFmtId="2" fontId="8" fillId="4" borderId="1" xfId="0" applyNumberFormat="1" applyFont="1" applyFill="1" applyBorder="1"/>
    <xf numFmtId="166" fontId="8" fillId="4" borderId="1" xfId="0" applyNumberFormat="1" applyFont="1" applyFill="1" applyBorder="1"/>
  </cellXfs>
  <cellStyles count="8">
    <cellStyle name="Comma 2" xfId="3" xr:uid="{7FF074B8-B4DB-A14B-A0C6-892F1D0DFFC0}"/>
    <cellStyle name="Currency 2" xfId="2" xr:uid="{E776F6C1-3942-774F-9B5F-B2371EC6F4E8}"/>
    <cellStyle name="Currency 3" xfId="6" xr:uid="{EFB5969F-CA19-CD49-94FA-9766046714BF}"/>
    <cellStyle name="Normal" xfId="0" builtinId="0"/>
    <cellStyle name="Normal 2" xfId="1" xr:uid="{96BC802C-848D-2340-8005-6E3137C989E5}"/>
    <cellStyle name="Normal 3" xfId="5" xr:uid="{17B1A740-F181-9242-B943-607806BFBAD8}"/>
    <cellStyle name="Percent 2" xfId="4" xr:uid="{6AC55666-4640-6443-8058-D8180A3EB4A2}"/>
    <cellStyle name="Percent 3" xfId="7" xr:uid="{73396071-09AB-654D-88D6-C278604EB0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5.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101600</xdr:colOff>
      <xdr:row>1</xdr:row>
      <xdr:rowOff>76200</xdr:rowOff>
    </xdr:from>
    <xdr:to>
      <xdr:col>7</xdr:col>
      <xdr:colOff>228600</xdr:colOff>
      <xdr:row>6</xdr:row>
      <xdr:rowOff>76200</xdr:rowOff>
    </xdr:to>
    <xdr:sp macro="" textlink="">
      <xdr:nvSpPr>
        <xdr:cNvPr id="2" name="TextBox 1">
          <a:extLst>
            <a:ext uri="{FF2B5EF4-FFF2-40B4-BE49-F238E27FC236}">
              <a16:creationId xmlns:a16="http://schemas.microsoft.com/office/drawing/2014/main" id="{E8742EF2-E40E-3443-BE8A-0D3FB41DDCD7}"/>
            </a:ext>
          </a:extLst>
        </xdr:cNvPr>
        <xdr:cNvSpPr txBox="1"/>
      </xdr:nvSpPr>
      <xdr:spPr>
        <a:xfrm>
          <a:off x="101600" y="279400"/>
          <a:ext cx="13055600" cy="101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Times New Roman" panose="02020603050405020304" pitchFamily="18" charset="0"/>
              <a:ea typeface="+mn-ea"/>
              <a:cs typeface="Times New Roman" panose="02020603050405020304" pitchFamily="18" charset="0"/>
            </a:rPr>
            <a:t>Question #1a.</a:t>
          </a:r>
          <a:r>
            <a:rPr lang="en-US" sz="1400" b="1" baseline="0">
              <a:solidFill>
                <a:schemeClr val="dk1"/>
              </a:solidFill>
              <a:effectLst/>
              <a:latin typeface="Times New Roman" panose="02020603050405020304" pitchFamily="18" charset="0"/>
              <a:ea typeface="+mn-ea"/>
              <a:cs typeface="Times New Roman" panose="02020603050405020304" pitchFamily="18" charset="0"/>
            </a:rPr>
            <a:t> </a:t>
          </a:r>
          <a:r>
            <a:rPr lang="en-US" sz="1400">
              <a:solidFill>
                <a:schemeClr val="dk1"/>
              </a:solidFill>
              <a:effectLst/>
              <a:latin typeface="Times New Roman" panose="02020603050405020304" pitchFamily="18" charset="0"/>
              <a:ea typeface="+mn-ea"/>
              <a:cs typeface="Times New Roman" panose="02020603050405020304" pitchFamily="18" charset="0"/>
            </a:rPr>
            <a:t>What share of XL (i.e., what % of the company) must TVC or its syndicate acquire in March 2025 if they fund the $1,500,000 amount of the Series A round?  How many new shares of XL stock should they acquire?  What should be the price per share?  What are XL’s pre-money and post-money valuations at this first round?</a:t>
          </a:r>
          <a:br>
            <a:rPr lang="en-US" sz="1400">
              <a:solidFill>
                <a:schemeClr val="dk1"/>
              </a:solidFill>
              <a:effectLst/>
              <a:latin typeface="Times New Roman" panose="02020603050405020304" pitchFamily="18" charset="0"/>
              <a:ea typeface="+mn-ea"/>
              <a:cs typeface="Times New Roman" panose="02020603050405020304" pitchFamily="18" charset="0"/>
            </a:rPr>
          </a:br>
          <a:r>
            <a:rPr lang="en-US" sz="1400" b="1">
              <a:solidFill>
                <a:schemeClr val="dk1"/>
              </a:solidFill>
              <a:effectLst/>
              <a:latin typeface="Times New Roman" panose="02020603050405020304" pitchFamily="18" charset="0"/>
              <a:ea typeface="+mn-ea"/>
              <a:cs typeface="Times New Roman" panose="02020603050405020304" pitchFamily="18" charset="0"/>
            </a:rPr>
            <a:t>Question #1b.  </a:t>
          </a:r>
          <a:r>
            <a:rPr lang="en-US" sz="1400">
              <a:solidFill>
                <a:schemeClr val="dk1"/>
              </a:solidFill>
              <a:effectLst/>
              <a:latin typeface="Times New Roman" panose="02020603050405020304" pitchFamily="18" charset="0"/>
              <a:ea typeface="+mn-ea"/>
              <a:cs typeface="Times New Roman" panose="02020603050405020304" pitchFamily="18" charset="0"/>
            </a:rPr>
            <a:t>If TVC or its syndicate funds the Series B and Series C rounds, what share of XL must they acquire in each round?  How many new shares of XL stock should they acquire in each round?  What should be the price per share in each round?  What are XL’s pre-money and post-money valuations at the Series B and Series C rounds, respectively?</a:t>
          </a:r>
        </a:p>
        <a:p>
          <a:pPr marL="0" marR="0" lvl="0" indent="0" defTabSz="914400" eaLnBrk="1" fontAlgn="auto" latinLnBrk="0" hangingPunct="1">
            <a:lnSpc>
              <a:spcPct val="100000"/>
            </a:lnSpc>
            <a:spcBef>
              <a:spcPts val="0"/>
            </a:spcBef>
            <a:spcAft>
              <a:spcPts val="0"/>
            </a:spcAft>
            <a:buClrTx/>
            <a:buSzTx/>
            <a:buFontTx/>
            <a:buNone/>
            <a:tabLst/>
            <a:defRPr/>
          </a:pPr>
          <a:endParaRPr lang="en-CN" sz="14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editAs="oneCell">
    <xdr:from>
      <xdr:col>2</xdr:col>
      <xdr:colOff>152400</xdr:colOff>
      <xdr:row>13</xdr:row>
      <xdr:rowOff>127000</xdr:rowOff>
    </xdr:from>
    <xdr:to>
      <xdr:col>4</xdr:col>
      <xdr:colOff>1360741</xdr:colOff>
      <xdr:row>18</xdr:row>
      <xdr:rowOff>76200</xdr:rowOff>
    </xdr:to>
    <xdr:pic>
      <xdr:nvPicPr>
        <xdr:cNvPr id="3" name="Picture 2">
          <a:extLst>
            <a:ext uri="{FF2B5EF4-FFF2-40B4-BE49-F238E27FC236}">
              <a16:creationId xmlns:a16="http://schemas.microsoft.com/office/drawing/2014/main" id="{21E013BF-7176-1F4A-86A5-D6B28D85A586}"/>
            </a:ext>
          </a:extLst>
        </xdr:cNvPr>
        <xdr:cNvPicPr>
          <a:picLocks noChangeAspect="1"/>
        </xdr:cNvPicPr>
      </xdr:nvPicPr>
      <xdr:blipFill>
        <a:blip xmlns:r="http://schemas.openxmlformats.org/officeDocument/2006/relationships" r:embed="rId1"/>
        <a:stretch>
          <a:fillRect/>
        </a:stretch>
      </xdr:blipFill>
      <xdr:spPr>
        <a:xfrm>
          <a:off x="4127500" y="2603500"/>
          <a:ext cx="4294441" cy="965200"/>
        </a:xfrm>
        <a:prstGeom prst="rect">
          <a:avLst/>
        </a:prstGeom>
      </xdr:spPr>
    </xdr:pic>
    <xdr:clientData/>
  </xdr:twoCellAnchor>
  <xdr:twoCellAnchor editAs="oneCell">
    <xdr:from>
      <xdr:col>5</xdr:col>
      <xdr:colOff>596900</xdr:colOff>
      <xdr:row>20</xdr:row>
      <xdr:rowOff>114300</xdr:rowOff>
    </xdr:from>
    <xdr:to>
      <xdr:col>6</xdr:col>
      <xdr:colOff>660400</xdr:colOff>
      <xdr:row>21</xdr:row>
      <xdr:rowOff>289633</xdr:rowOff>
    </xdr:to>
    <xdr:pic>
      <xdr:nvPicPr>
        <xdr:cNvPr id="4" name="Picture 3">
          <a:extLst>
            <a:ext uri="{FF2B5EF4-FFF2-40B4-BE49-F238E27FC236}">
              <a16:creationId xmlns:a16="http://schemas.microsoft.com/office/drawing/2014/main" id="{FD009836-7E2C-BC47-94BB-0431B3098F45}"/>
            </a:ext>
          </a:extLst>
        </xdr:cNvPr>
        <xdr:cNvPicPr>
          <a:picLocks noChangeAspect="1"/>
        </xdr:cNvPicPr>
      </xdr:nvPicPr>
      <xdr:blipFill rotWithShape="1">
        <a:blip xmlns:r="http://schemas.openxmlformats.org/officeDocument/2006/relationships" r:embed="rId2"/>
        <a:srcRect t="59616" r="71242"/>
        <a:stretch/>
      </xdr:blipFill>
      <xdr:spPr>
        <a:xfrm>
          <a:off x="9207500" y="4102100"/>
          <a:ext cx="2235200" cy="378533"/>
        </a:xfrm>
        <a:prstGeom prst="rect">
          <a:avLst/>
        </a:prstGeom>
      </xdr:spPr>
    </xdr:pic>
    <xdr:clientData/>
  </xdr:twoCellAnchor>
  <xdr:twoCellAnchor editAs="oneCell">
    <xdr:from>
      <xdr:col>5</xdr:col>
      <xdr:colOff>584200</xdr:colOff>
      <xdr:row>21</xdr:row>
      <xdr:rowOff>279400</xdr:rowOff>
    </xdr:from>
    <xdr:to>
      <xdr:col>7</xdr:col>
      <xdr:colOff>863600</xdr:colOff>
      <xdr:row>24</xdr:row>
      <xdr:rowOff>0</xdr:rowOff>
    </xdr:to>
    <xdr:pic>
      <xdr:nvPicPr>
        <xdr:cNvPr id="5" name="Picture 4">
          <a:extLst>
            <a:ext uri="{FF2B5EF4-FFF2-40B4-BE49-F238E27FC236}">
              <a16:creationId xmlns:a16="http://schemas.microsoft.com/office/drawing/2014/main" id="{179600DE-7BC8-0F4E-9453-B993D115DC76}"/>
            </a:ext>
          </a:extLst>
        </xdr:cNvPr>
        <xdr:cNvPicPr>
          <a:picLocks noChangeAspect="1"/>
        </xdr:cNvPicPr>
      </xdr:nvPicPr>
      <xdr:blipFill rotWithShape="1">
        <a:blip xmlns:r="http://schemas.openxmlformats.org/officeDocument/2006/relationships" r:embed="rId3"/>
        <a:srcRect t="50513" r="40849" b="-304"/>
        <a:stretch/>
      </xdr:blipFill>
      <xdr:spPr>
        <a:xfrm>
          <a:off x="9194800" y="4470400"/>
          <a:ext cx="4597400" cy="876300"/>
        </a:xfrm>
        <a:prstGeom prst="rect">
          <a:avLst/>
        </a:prstGeom>
      </xdr:spPr>
    </xdr:pic>
    <xdr:clientData/>
  </xdr:twoCellAnchor>
  <xdr:twoCellAnchor editAs="oneCell">
    <xdr:from>
      <xdr:col>5</xdr:col>
      <xdr:colOff>800099</xdr:colOff>
      <xdr:row>25</xdr:row>
      <xdr:rowOff>12700</xdr:rowOff>
    </xdr:from>
    <xdr:to>
      <xdr:col>6</xdr:col>
      <xdr:colOff>2006600</xdr:colOff>
      <xdr:row>30</xdr:row>
      <xdr:rowOff>16534</xdr:rowOff>
    </xdr:to>
    <xdr:pic>
      <xdr:nvPicPr>
        <xdr:cNvPr id="6" name="Picture 5">
          <a:extLst>
            <a:ext uri="{FF2B5EF4-FFF2-40B4-BE49-F238E27FC236}">
              <a16:creationId xmlns:a16="http://schemas.microsoft.com/office/drawing/2014/main" id="{1E1F71E9-79AA-964C-83B4-DC03ABF63D01}"/>
            </a:ext>
          </a:extLst>
        </xdr:cNvPr>
        <xdr:cNvPicPr>
          <a:picLocks noChangeAspect="1"/>
        </xdr:cNvPicPr>
      </xdr:nvPicPr>
      <xdr:blipFill>
        <a:blip xmlns:r="http://schemas.openxmlformats.org/officeDocument/2006/relationships" r:embed="rId4"/>
        <a:stretch>
          <a:fillRect/>
        </a:stretch>
      </xdr:blipFill>
      <xdr:spPr>
        <a:xfrm>
          <a:off x="9410699" y="5562600"/>
          <a:ext cx="3378201" cy="1019834"/>
        </a:xfrm>
        <a:prstGeom prst="rect">
          <a:avLst/>
        </a:prstGeom>
      </xdr:spPr>
    </xdr:pic>
    <xdr:clientData/>
  </xdr:twoCellAnchor>
  <xdr:twoCellAnchor editAs="oneCell">
    <xdr:from>
      <xdr:col>8</xdr:col>
      <xdr:colOff>241300</xdr:colOff>
      <xdr:row>24</xdr:row>
      <xdr:rowOff>134334</xdr:rowOff>
    </xdr:from>
    <xdr:to>
      <xdr:col>12</xdr:col>
      <xdr:colOff>484257</xdr:colOff>
      <xdr:row>30</xdr:row>
      <xdr:rowOff>63500</xdr:rowOff>
    </xdr:to>
    <xdr:pic>
      <xdr:nvPicPr>
        <xdr:cNvPr id="7" name="Picture 6">
          <a:extLst>
            <a:ext uri="{FF2B5EF4-FFF2-40B4-BE49-F238E27FC236}">
              <a16:creationId xmlns:a16="http://schemas.microsoft.com/office/drawing/2014/main" id="{4A851EE9-2EB1-334F-A81E-21A8022D2C59}"/>
            </a:ext>
          </a:extLst>
        </xdr:cNvPr>
        <xdr:cNvPicPr>
          <a:picLocks noChangeAspect="1"/>
        </xdr:cNvPicPr>
      </xdr:nvPicPr>
      <xdr:blipFill>
        <a:blip xmlns:r="http://schemas.openxmlformats.org/officeDocument/2006/relationships" r:embed="rId5"/>
        <a:stretch>
          <a:fillRect/>
        </a:stretch>
      </xdr:blipFill>
      <xdr:spPr>
        <a:xfrm>
          <a:off x="14135100" y="5481034"/>
          <a:ext cx="3544957" cy="1148366"/>
        </a:xfrm>
        <a:prstGeom prst="rect">
          <a:avLst/>
        </a:prstGeom>
      </xdr:spPr>
    </xdr:pic>
    <xdr:clientData/>
  </xdr:twoCellAnchor>
  <xdr:twoCellAnchor editAs="oneCell">
    <xdr:from>
      <xdr:col>5</xdr:col>
      <xdr:colOff>736600</xdr:colOff>
      <xdr:row>31</xdr:row>
      <xdr:rowOff>38100</xdr:rowOff>
    </xdr:from>
    <xdr:to>
      <xdr:col>8</xdr:col>
      <xdr:colOff>520700</xdr:colOff>
      <xdr:row>35</xdr:row>
      <xdr:rowOff>180009</xdr:rowOff>
    </xdr:to>
    <xdr:pic>
      <xdr:nvPicPr>
        <xdr:cNvPr id="8" name="Picture 7">
          <a:extLst>
            <a:ext uri="{FF2B5EF4-FFF2-40B4-BE49-F238E27FC236}">
              <a16:creationId xmlns:a16="http://schemas.microsoft.com/office/drawing/2014/main" id="{56D19D45-421F-2D48-B99F-161D3EFD8C8A}"/>
            </a:ext>
          </a:extLst>
        </xdr:cNvPr>
        <xdr:cNvPicPr>
          <a:picLocks noChangeAspect="1"/>
        </xdr:cNvPicPr>
      </xdr:nvPicPr>
      <xdr:blipFill>
        <a:blip xmlns:r="http://schemas.openxmlformats.org/officeDocument/2006/relationships" r:embed="rId6"/>
        <a:stretch>
          <a:fillRect/>
        </a:stretch>
      </xdr:blipFill>
      <xdr:spPr>
        <a:xfrm>
          <a:off x="9347200" y="6807200"/>
          <a:ext cx="5067300" cy="954709"/>
        </a:xfrm>
        <a:prstGeom prst="rect">
          <a:avLst/>
        </a:prstGeom>
      </xdr:spPr>
    </xdr:pic>
    <xdr:clientData/>
  </xdr:twoCellAnchor>
  <xdr:twoCellAnchor editAs="oneCell">
    <xdr:from>
      <xdr:col>8</xdr:col>
      <xdr:colOff>482600</xdr:colOff>
      <xdr:row>31</xdr:row>
      <xdr:rowOff>101600</xdr:rowOff>
    </xdr:from>
    <xdr:to>
      <xdr:col>15</xdr:col>
      <xdr:colOff>508000</xdr:colOff>
      <xdr:row>35</xdr:row>
      <xdr:rowOff>196615</xdr:rowOff>
    </xdr:to>
    <xdr:pic>
      <xdr:nvPicPr>
        <xdr:cNvPr id="9" name="Picture 8">
          <a:extLst>
            <a:ext uri="{FF2B5EF4-FFF2-40B4-BE49-F238E27FC236}">
              <a16:creationId xmlns:a16="http://schemas.microsoft.com/office/drawing/2014/main" id="{CCF2183B-BCAE-C34F-A3BF-0A4D6F279121}"/>
            </a:ext>
          </a:extLst>
        </xdr:cNvPr>
        <xdr:cNvPicPr>
          <a:picLocks noChangeAspect="1"/>
        </xdr:cNvPicPr>
      </xdr:nvPicPr>
      <xdr:blipFill>
        <a:blip xmlns:r="http://schemas.openxmlformats.org/officeDocument/2006/relationships" r:embed="rId7"/>
        <a:stretch>
          <a:fillRect/>
        </a:stretch>
      </xdr:blipFill>
      <xdr:spPr>
        <a:xfrm>
          <a:off x="14376400" y="6870700"/>
          <a:ext cx="5803900" cy="907815"/>
        </a:xfrm>
        <a:prstGeom prst="rect">
          <a:avLst/>
        </a:prstGeom>
      </xdr:spPr>
    </xdr:pic>
    <xdr:clientData/>
  </xdr:twoCellAnchor>
  <xdr:twoCellAnchor editAs="oneCell">
    <xdr:from>
      <xdr:col>7</xdr:col>
      <xdr:colOff>88900</xdr:colOff>
      <xdr:row>7</xdr:row>
      <xdr:rowOff>150806</xdr:rowOff>
    </xdr:from>
    <xdr:to>
      <xdr:col>14</xdr:col>
      <xdr:colOff>711200</xdr:colOff>
      <xdr:row>10</xdr:row>
      <xdr:rowOff>1154</xdr:rowOff>
    </xdr:to>
    <xdr:pic>
      <xdr:nvPicPr>
        <xdr:cNvPr id="10" name="Picture 9">
          <a:extLst>
            <a:ext uri="{FF2B5EF4-FFF2-40B4-BE49-F238E27FC236}">
              <a16:creationId xmlns:a16="http://schemas.microsoft.com/office/drawing/2014/main" id="{C97A13A4-C5E6-F149-98E4-5B3AAA8CB3F1}"/>
            </a:ext>
          </a:extLst>
        </xdr:cNvPr>
        <xdr:cNvPicPr>
          <a:picLocks noChangeAspect="1"/>
        </xdr:cNvPicPr>
      </xdr:nvPicPr>
      <xdr:blipFill>
        <a:blip xmlns:r="http://schemas.openxmlformats.org/officeDocument/2006/relationships" r:embed="rId8"/>
        <a:stretch>
          <a:fillRect/>
        </a:stretch>
      </xdr:blipFill>
      <xdr:spPr>
        <a:xfrm>
          <a:off x="13017500" y="1370006"/>
          <a:ext cx="6540500" cy="496893"/>
        </a:xfrm>
        <a:prstGeom prst="rect">
          <a:avLst/>
        </a:prstGeom>
      </xdr:spPr>
    </xdr:pic>
    <xdr:clientData/>
  </xdr:twoCellAnchor>
  <xdr:twoCellAnchor editAs="oneCell">
    <xdr:from>
      <xdr:col>7</xdr:col>
      <xdr:colOff>88900</xdr:colOff>
      <xdr:row>9</xdr:row>
      <xdr:rowOff>190500</xdr:rowOff>
    </xdr:from>
    <xdr:to>
      <xdr:col>12</xdr:col>
      <xdr:colOff>647700</xdr:colOff>
      <xdr:row>14</xdr:row>
      <xdr:rowOff>0</xdr:rowOff>
    </xdr:to>
    <xdr:pic>
      <xdr:nvPicPr>
        <xdr:cNvPr id="11" name="Picture 10">
          <a:extLst>
            <a:ext uri="{FF2B5EF4-FFF2-40B4-BE49-F238E27FC236}">
              <a16:creationId xmlns:a16="http://schemas.microsoft.com/office/drawing/2014/main" id="{87712936-28F8-FB4E-9149-4F66631B5E41}"/>
            </a:ext>
          </a:extLst>
        </xdr:cNvPr>
        <xdr:cNvPicPr>
          <a:picLocks noChangeAspect="1"/>
        </xdr:cNvPicPr>
      </xdr:nvPicPr>
      <xdr:blipFill>
        <a:blip xmlns:r="http://schemas.openxmlformats.org/officeDocument/2006/relationships" r:embed="rId9"/>
        <a:stretch>
          <a:fillRect/>
        </a:stretch>
      </xdr:blipFill>
      <xdr:spPr>
        <a:xfrm>
          <a:off x="13017500" y="1854200"/>
          <a:ext cx="4826000" cy="825500"/>
        </a:xfrm>
        <a:prstGeom prst="rect">
          <a:avLst/>
        </a:prstGeom>
      </xdr:spPr>
    </xdr:pic>
    <xdr:clientData/>
  </xdr:twoCellAnchor>
  <xdr:twoCellAnchor editAs="oneCell">
    <xdr:from>
      <xdr:col>7</xdr:col>
      <xdr:colOff>127000</xdr:colOff>
      <xdr:row>15</xdr:row>
      <xdr:rowOff>12700</xdr:rowOff>
    </xdr:from>
    <xdr:to>
      <xdr:col>10</xdr:col>
      <xdr:colOff>292100</xdr:colOff>
      <xdr:row>18</xdr:row>
      <xdr:rowOff>59252</xdr:rowOff>
    </xdr:to>
    <xdr:pic>
      <xdr:nvPicPr>
        <xdr:cNvPr id="12" name="Picture 11">
          <a:extLst>
            <a:ext uri="{FF2B5EF4-FFF2-40B4-BE49-F238E27FC236}">
              <a16:creationId xmlns:a16="http://schemas.microsoft.com/office/drawing/2014/main" id="{38C3CDB0-1F15-9046-A1A0-BEABC87A414D}"/>
            </a:ext>
          </a:extLst>
        </xdr:cNvPr>
        <xdr:cNvPicPr>
          <a:picLocks noChangeAspect="1"/>
        </xdr:cNvPicPr>
      </xdr:nvPicPr>
      <xdr:blipFill>
        <a:blip xmlns:r="http://schemas.openxmlformats.org/officeDocument/2006/relationships" r:embed="rId10"/>
        <a:stretch>
          <a:fillRect/>
        </a:stretch>
      </xdr:blipFill>
      <xdr:spPr>
        <a:xfrm>
          <a:off x="13055600" y="2895600"/>
          <a:ext cx="2781300" cy="656152"/>
        </a:xfrm>
        <a:prstGeom prst="rect">
          <a:avLst/>
        </a:prstGeom>
      </xdr:spPr>
    </xdr:pic>
    <xdr:clientData/>
  </xdr:twoCellAnchor>
  <xdr:twoCellAnchor editAs="oneCell">
    <xdr:from>
      <xdr:col>10</xdr:col>
      <xdr:colOff>444500</xdr:colOff>
      <xdr:row>15</xdr:row>
      <xdr:rowOff>12700</xdr:rowOff>
    </xdr:from>
    <xdr:to>
      <xdr:col>13</xdr:col>
      <xdr:colOff>553434</xdr:colOff>
      <xdr:row>18</xdr:row>
      <xdr:rowOff>88632</xdr:rowOff>
    </xdr:to>
    <xdr:pic>
      <xdr:nvPicPr>
        <xdr:cNvPr id="13" name="Picture 12">
          <a:extLst>
            <a:ext uri="{FF2B5EF4-FFF2-40B4-BE49-F238E27FC236}">
              <a16:creationId xmlns:a16="http://schemas.microsoft.com/office/drawing/2014/main" id="{69D561ED-35F0-EE49-8400-DD80B8140F8F}"/>
            </a:ext>
          </a:extLst>
        </xdr:cNvPr>
        <xdr:cNvPicPr>
          <a:picLocks noChangeAspect="1"/>
        </xdr:cNvPicPr>
      </xdr:nvPicPr>
      <xdr:blipFill>
        <a:blip xmlns:r="http://schemas.openxmlformats.org/officeDocument/2006/relationships" r:embed="rId11"/>
        <a:stretch>
          <a:fillRect/>
        </a:stretch>
      </xdr:blipFill>
      <xdr:spPr>
        <a:xfrm>
          <a:off x="15989300" y="2895600"/>
          <a:ext cx="2585434" cy="685532"/>
        </a:xfrm>
        <a:prstGeom prst="rect">
          <a:avLst/>
        </a:prstGeom>
      </xdr:spPr>
    </xdr:pic>
    <xdr:clientData/>
  </xdr:twoCellAnchor>
  <xdr:twoCellAnchor editAs="oneCell">
    <xdr:from>
      <xdr:col>5</xdr:col>
      <xdr:colOff>12700</xdr:colOff>
      <xdr:row>36</xdr:row>
      <xdr:rowOff>76200</xdr:rowOff>
    </xdr:from>
    <xdr:to>
      <xdr:col>6</xdr:col>
      <xdr:colOff>1516340</xdr:colOff>
      <xdr:row>39</xdr:row>
      <xdr:rowOff>139700</xdr:rowOff>
    </xdr:to>
    <xdr:pic>
      <xdr:nvPicPr>
        <xdr:cNvPr id="14" name="Picture 13">
          <a:extLst>
            <a:ext uri="{FF2B5EF4-FFF2-40B4-BE49-F238E27FC236}">
              <a16:creationId xmlns:a16="http://schemas.microsoft.com/office/drawing/2014/main" id="{F4E1D82C-79DF-2542-9088-534FC63BD894}"/>
            </a:ext>
          </a:extLst>
        </xdr:cNvPr>
        <xdr:cNvPicPr>
          <a:picLocks noChangeAspect="1"/>
        </xdr:cNvPicPr>
      </xdr:nvPicPr>
      <xdr:blipFill>
        <a:blip xmlns:r="http://schemas.openxmlformats.org/officeDocument/2006/relationships" r:embed="rId12"/>
        <a:stretch>
          <a:fillRect/>
        </a:stretch>
      </xdr:blipFill>
      <xdr:spPr>
        <a:xfrm>
          <a:off x="8623300" y="8064500"/>
          <a:ext cx="3675340" cy="673100"/>
        </a:xfrm>
        <a:prstGeom prst="rect">
          <a:avLst/>
        </a:prstGeom>
      </xdr:spPr>
    </xdr:pic>
    <xdr:clientData/>
  </xdr:twoCellAnchor>
  <xdr:twoCellAnchor editAs="oneCell">
    <xdr:from>
      <xdr:col>5</xdr:col>
      <xdr:colOff>25400</xdr:colOff>
      <xdr:row>39</xdr:row>
      <xdr:rowOff>165100</xdr:rowOff>
    </xdr:from>
    <xdr:to>
      <xdr:col>6</xdr:col>
      <xdr:colOff>468111</xdr:colOff>
      <xdr:row>43</xdr:row>
      <xdr:rowOff>63500</xdr:rowOff>
    </xdr:to>
    <xdr:pic>
      <xdr:nvPicPr>
        <xdr:cNvPr id="15" name="Picture 14">
          <a:extLst>
            <a:ext uri="{FF2B5EF4-FFF2-40B4-BE49-F238E27FC236}">
              <a16:creationId xmlns:a16="http://schemas.microsoft.com/office/drawing/2014/main" id="{E6A05A9B-1640-514C-B660-9B8C57617627}"/>
            </a:ext>
          </a:extLst>
        </xdr:cNvPr>
        <xdr:cNvPicPr>
          <a:picLocks noChangeAspect="1"/>
        </xdr:cNvPicPr>
      </xdr:nvPicPr>
      <xdr:blipFill>
        <a:blip xmlns:r="http://schemas.openxmlformats.org/officeDocument/2006/relationships" r:embed="rId13"/>
        <a:stretch>
          <a:fillRect/>
        </a:stretch>
      </xdr:blipFill>
      <xdr:spPr>
        <a:xfrm>
          <a:off x="8636000" y="8763000"/>
          <a:ext cx="2614411" cy="711200"/>
        </a:xfrm>
        <a:prstGeom prst="rect">
          <a:avLst/>
        </a:prstGeom>
      </xdr:spPr>
    </xdr:pic>
    <xdr:clientData/>
  </xdr:twoCellAnchor>
  <xdr:twoCellAnchor>
    <xdr:from>
      <xdr:col>5</xdr:col>
      <xdr:colOff>88900</xdr:colOff>
      <xdr:row>51</xdr:row>
      <xdr:rowOff>165100</xdr:rowOff>
    </xdr:from>
    <xdr:to>
      <xdr:col>7</xdr:col>
      <xdr:colOff>749300</xdr:colOff>
      <xdr:row>55</xdr:row>
      <xdr:rowOff>165100</xdr:rowOff>
    </xdr:to>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EC867683-180B-AC43-A3EB-DF7B0356D400}"/>
                </a:ext>
              </a:extLst>
            </xdr:cNvPr>
            <xdr:cNvSpPr txBox="1"/>
          </xdr:nvSpPr>
          <xdr:spPr>
            <a:xfrm>
              <a:off x="8699500" y="10071100"/>
              <a:ext cx="4978400" cy="850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𝑂𝑣𝑒𝑟𝑎𝑙𝑙</m:t>
                    </m:r>
                    <m:r>
                      <a:rPr lang="en-US" sz="1100" b="0" i="1">
                        <a:latin typeface="Cambria Math" panose="02040503050406030204" pitchFamily="18" charset="0"/>
                      </a:rPr>
                      <m:t> </m:t>
                    </m:r>
                    <m:r>
                      <a:rPr lang="en-US" sz="1100" b="0" i="1">
                        <a:latin typeface="Cambria Math" panose="02040503050406030204" pitchFamily="18" charset="0"/>
                      </a:rPr>
                      <m:t>𝑅𝑒𝑡𝑢𝑟𝑛</m:t>
                    </m:r>
                    <m:r>
                      <a:rPr lang="en-US" sz="1100" b="0" i="1">
                        <a:latin typeface="Cambria Math" panose="02040503050406030204" pitchFamily="18" charset="0"/>
                      </a:rPr>
                      <m:t>=</m:t>
                    </m:r>
                    <m:sSup>
                      <m:sSupPr>
                        <m:ctrlPr>
                          <a:rPr lang="en-US" sz="1100" i="1">
                            <a:latin typeface="Cambria Math" panose="02040503050406030204" pitchFamily="18" charset="0"/>
                          </a:rPr>
                        </m:ctrlPr>
                      </m:sSupPr>
                      <m:e>
                        <m:d>
                          <m:dPr>
                            <m:ctrlPr>
                              <a:rPr lang="en-US" sz="1100" i="1">
                                <a:latin typeface="Cambria Math" panose="02040503050406030204" pitchFamily="18" charset="0"/>
                              </a:rPr>
                            </m:ctrlPr>
                          </m:dPr>
                          <m:e>
                            <m:f>
                              <m:fPr>
                                <m:ctrlPr>
                                  <a:rPr lang="en-US" sz="1100" i="1">
                                    <a:latin typeface="Cambria Math" panose="02040503050406030204" pitchFamily="18" charset="0"/>
                                  </a:rPr>
                                </m:ctrlPr>
                              </m:fPr>
                              <m:num>
                                <m:r>
                                  <a:rPr lang="en-US" sz="1100" b="0" i="1">
                                    <a:latin typeface="Cambria Math" panose="02040503050406030204" pitchFamily="18" charset="0"/>
                                  </a:rPr>
                                  <m:t>𝑇𝑒𝑟𝑚𝑖𝑛𝑎𝑙</m:t>
                                </m:r>
                                <m:r>
                                  <a:rPr lang="en-US" sz="1100" b="0" i="1">
                                    <a:latin typeface="Cambria Math" panose="02040503050406030204" pitchFamily="18" charset="0"/>
                                  </a:rPr>
                                  <m:t> </m:t>
                                </m:r>
                                <m:r>
                                  <a:rPr lang="en-US" sz="1100" b="0" i="1">
                                    <a:latin typeface="Cambria Math" panose="02040503050406030204" pitchFamily="18" charset="0"/>
                                  </a:rPr>
                                  <m:t>𝐷𝑖𝑠𝑡𝑟𝑖𝑏𝑢𝑡𝑖𝑜𝑛</m:t>
                                </m:r>
                                <m:r>
                                  <a:rPr lang="en-US" sz="1100" b="0" i="1">
                                    <a:latin typeface="Cambria Math" panose="02040503050406030204" pitchFamily="18" charset="0"/>
                                  </a:rPr>
                                  <m:t> </m:t>
                                </m:r>
                                <m:r>
                                  <a:rPr lang="en-US" sz="1100" b="0" i="1">
                                    <a:latin typeface="Cambria Math" panose="02040503050406030204" pitchFamily="18" charset="0"/>
                                  </a:rPr>
                                  <m:t>𝑡𝑜</m:t>
                                </m:r>
                                <m:r>
                                  <a:rPr lang="en-US" sz="1100" b="0" i="1">
                                    <a:latin typeface="Cambria Math" panose="02040503050406030204" pitchFamily="18" charset="0"/>
                                  </a:rPr>
                                  <m:t> </m:t>
                                </m:r>
                                <m:r>
                                  <a:rPr lang="en-US" sz="1100" b="0" i="1">
                                    <a:latin typeface="Cambria Math" panose="02040503050406030204" pitchFamily="18" charset="0"/>
                                  </a:rPr>
                                  <m:t>𝐼𝑛𝑣𝑒𝑠𝑡𝑜𝑟</m:t>
                                </m:r>
                              </m:num>
                              <m:den>
                                <m:r>
                                  <a:rPr lang="en-US" sz="1100" b="0" i="1">
                                    <a:latin typeface="Cambria Math" panose="02040503050406030204" pitchFamily="18" charset="0"/>
                                  </a:rPr>
                                  <m:t>𝐼𝑛𝑣𝑒𝑠𝑡𝑚𝑒𝑛𝑡</m:t>
                                </m:r>
                              </m:den>
                            </m:f>
                          </m:e>
                        </m:d>
                      </m:e>
                      <m:sup>
                        <m:r>
                          <a:rPr lang="en-US" sz="1100" b="0" i="1">
                            <a:latin typeface="Cambria Math" panose="02040503050406030204" pitchFamily="18" charset="0"/>
                          </a:rPr>
                          <m:t>1/</m:t>
                        </m:r>
                        <m:r>
                          <a:rPr lang="en-US" sz="1100" b="0" i="1">
                            <a:latin typeface="Cambria Math" panose="02040503050406030204" pitchFamily="18" charset="0"/>
                          </a:rPr>
                          <m:t>𝑁</m:t>
                        </m:r>
                      </m:sup>
                    </m:sSup>
                    <m:r>
                      <a:rPr lang="en-US" sz="1100" b="0" i="1">
                        <a:latin typeface="Cambria Math" panose="02040503050406030204" pitchFamily="18" charset="0"/>
                      </a:rPr>
                      <m:t>−1</m:t>
                    </m:r>
                  </m:oMath>
                </m:oMathPara>
              </a14:m>
              <a:endParaRPr lang="en-US" sz="1100"/>
            </a:p>
            <a:p>
              <a:endParaRPr lang="en-US" sz="1100"/>
            </a:p>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𝑇𝑒𝑟𝑚𝑖𝑛𝑎𝑙</m:t>
                    </m:r>
                    <m:r>
                      <a:rPr lang="en-US" sz="1100" b="0" i="1">
                        <a:latin typeface="Cambria Math" panose="02040503050406030204" pitchFamily="18" charset="0"/>
                      </a:rPr>
                      <m:t> </m:t>
                    </m:r>
                    <m:r>
                      <a:rPr lang="en-US" sz="1100" b="0" i="1">
                        <a:latin typeface="Cambria Math" panose="02040503050406030204" pitchFamily="18" charset="0"/>
                      </a:rPr>
                      <m:t>𝐷𝑖𝑠𝑡𝑟𝑖𝑏𝑢𝑡𝑖𝑜𝑛</m:t>
                    </m:r>
                    <m:r>
                      <a:rPr lang="en-US" sz="1100" b="0" i="1">
                        <a:latin typeface="Cambria Math" panose="02040503050406030204" pitchFamily="18" charset="0"/>
                      </a:rPr>
                      <m:t> </m:t>
                    </m:r>
                    <m:r>
                      <a:rPr lang="en-US" sz="1100" b="0" i="1">
                        <a:latin typeface="Cambria Math" panose="02040503050406030204" pitchFamily="18" charset="0"/>
                      </a:rPr>
                      <m:t>𝑡𝑜</m:t>
                    </m:r>
                    <m:r>
                      <a:rPr lang="en-US" sz="1100" b="0" i="1">
                        <a:latin typeface="Cambria Math" panose="02040503050406030204" pitchFamily="18" charset="0"/>
                      </a:rPr>
                      <m:t> </m:t>
                    </m:r>
                    <m:r>
                      <a:rPr lang="en-US" sz="1100" b="0" i="1">
                        <a:latin typeface="Cambria Math" panose="02040503050406030204" pitchFamily="18" charset="0"/>
                      </a:rPr>
                      <m:t>𝐼𝑛𝑣𝑒𝑠𝑡𝑜𝑟</m:t>
                    </m:r>
                    <m:r>
                      <a:rPr lang="en-US" sz="1100" b="0" i="0">
                        <a:latin typeface="Cambria Math" panose="02040503050406030204" pitchFamily="18" charset="0"/>
                      </a:rPr>
                      <m:t>=</m:t>
                    </m:r>
                    <m:r>
                      <m:rPr>
                        <m:sty m:val="p"/>
                      </m:rPr>
                      <a:rPr lang="en-US" sz="1100" b="0" i="0">
                        <a:latin typeface="Cambria Math" panose="02040503050406030204" pitchFamily="18" charset="0"/>
                      </a:rPr>
                      <m:t>Terminal</m:t>
                    </m:r>
                    <m:r>
                      <a:rPr lang="en-US" sz="1100" b="0" i="0">
                        <a:latin typeface="Cambria Math" panose="02040503050406030204" pitchFamily="18" charset="0"/>
                      </a:rPr>
                      <m:t> </m:t>
                    </m:r>
                    <m:r>
                      <m:rPr>
                        <m:sty m:val="p"/>
                      </m:rPr>
                      <a:rPr lang="en-US" sz="1100" b="0" i="0">
                        <a:latin typeface="Cambria Math" panose="02040503050406030204" pitchFamily="18" charset="0"/>
                      </a:rPr>
                      <m:t>Price</m:t>
                    </m:r>
                    <m:r>
                      <a:rPr lang="en-US" sz="1100" b="0" i="0">
                        <a:latin typeface="Cambria Math" panose="02040503050406030204" pitchFamily="18" charset="0"/>
                      </a:rPr>
                      <m:t> </m:t>
                    </m:r>
                    <m:r>
                      <m:rPr>
                        <m:sty m:val="p"/>
                      </m:rPr>
                      <a:rPr lang="en-US" sz="1100" b="0" i="0">
                        <a:latin typeface="Cambria Math" panose="02040503050406030204" pitchFamily="18" charset="0"/>
                      </a:rPr>
                      <m:t>per</m:t>
                    </m:r>
                    <m:r>
                      <a:rPr lang="en-US" sz="1100" b="0" i="0">
                        <a:latin typeface="Cambria Math" panose="02040503050406030204" pitchFamily="18" charset="0"/>
                      </a:rPr>
                      <m:t> </m:t>
                    </m:r>
                    <m:r>
                      <m:rPr>
                        <m:sty m:val="p"/>
                      </m:rPr>
                      <a:rPr lang="en-US" sz="1100" b="0" i="0">
                        <a:latin typeface="Cambria Math" panose="02040503050406030204" pitchFamily="18" charset="0"/>
                      </a:rPr>
                      <m:t>Share</m:t>
                    </m:r>
                    <m:r>
                      <a:rPr lang="en-US" sz="1100" b="0" i="1">
                        <a:latin typeface="Cambria Math" panose="02040503050406030204" pitchFamily="18" charset="0"/>
                      </a:rPr>
                      <m:t> </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𝑆h𝑎𝑟𝑒𝑠</m:t>
                    </m:r>
                  </m:oMath>
                </m:oMathPara>
              </a14:m>
              <a:endParaRPr lang="en-US" sz="1100"/>
            </a:p>
          </xdr:txBody>
        </xdr:sp>
      </mc:Choice>
      <mc:Fallback xmlns="">
        <xdr:sp macro="" textlink="">
          <xdr:nvSpPr>
            <xdr:cNvPr id="16" name="TextBox 15">
              <a:extLst>
                <a:ext uri="{FF2B5EF4-FFF2-40B4-BE49-F238E27FC236}">
                  <a16:creationId xmlns:a16="http://schemas.microsoft.com/office/drawing/2014/main" id="{EC867683-180B-AC43-A3EB-DF7B0356D400}"/>
                </a:ext>
              </a:extLst>
            </xdr:cNvPr>
            <xdr:cNvSpPr txBox="1"/>
          </xdr:nvSpPr>
          <xdr:spPr>
            <a:xfrm>
              <a:off x="8699500" y="10071100"/>
              <a:ext cx="4978400" cy="850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latin typeface="Cambria Math" panose="02040503050406030204" pitchFamily="18" charset="0"/>
                </a:rPr>
                <a:t>𝑂𝑣𝑒𝑟𝑎𝑙𝑙 𝑅𝑒𝑡𝑢𝑟𝑛=</a:t>
              </a:r>
              <a:r>
                <a:rPr lang="en-US" sz="1100" i="0">
                  <a:latin typeface="Cambria Math" panose="02040503050406030204" pitchFamily="18" charset="0"/>
                </a:rPr>
                <a:t>((</a:t>
              </a:r>
              <a:r>
                <a:rPr lang="en-US" sz="1100" b="0" i="0">
                  <a:latin typeface="Cambria Math" panose="02040503050406030204" pitchFamily="18" charset="0"/>
                </a:rPr>
                <a:t>𝑇𝑒𝑟𝑚𝑖𝑛𝑎𝑙 𝐷𝑖𝑠𝑡𝑟𝑖𝑏𝑢𝑡𝑖𝑜𝑛 𝑡𝑜 𝐼𝑛𝑣𝑒𝑠𝑡𝑜𝑟)/𝐼𝑛𝑣𝑒𝑠𝑡𝑚𝑒𝑛𝑡)^(1/𝑁)−1</a:t>
              </a:r>
              <a:endParaRPr lang="en-US" sz="1100"/>
            </a:p>
            <a:p>
              <a:endParaRPr lang="en-US" sz="1100"/>
            </a:p>
            <a:p>
              <a:r>
                <a:rPr lang="en-US" sz="1100" b="0" i="0">
                  <a:latin typeface="Cambria Math" panose="02040503050406030204" pitchFamily="18" charset="0"/>
                </a:rPr>
                <a:t>𝑇𝑒𝑟𝑚𝑖𝑛𝑎𝑙 𝐷𝑖𝑠𝑡𝑟𝑖𝑏𝑢𝑡𝑖𝑜𝑛 𝑡𝑜 𝐼𝑛𝑣𝑒𝑠𝑡𝑜𝑟=Terminal Price per Share </a:t>
              </a:r>
              <a:r>
                <a:rPr lang="en-US" sz="1100" b="0" i="0">
                  <a:latin typeface="Cambria Math" panose="02040503050406030204" pitchFamily="18" charset="0"/>
                  <a:ea typeface="Cambria Math" panose="02040503050406030204" pitchFamily="18" charset="0"/>
                </a:rPr>
                <a:t>× #𝑆ℎ𝑎𝑟𝑒𝑠</a:t>
              </a:r>
              <a:endParaRPr lang="en-US" sz="1100"/>
            </a:p>
          </xdr:txBody>
        </xdr:sp>
      </mc:Fallback>
    </mc:AlternateContent>
    <xdr:clientData/>
  </xdr:twoCellAnchor>
  <xdr:twoCellAnchor>
    <xdr:from>
      <xdr:col>0</xdr:col>
      <xdr:colOff>0</xdr:colOff>
      <xdr:row>43</xdr:row>
      <xdr:rowOff>76200</xdr:rowOff>
    </xdr:from>
    <xdr:to>
      <xdr:col>6</xdr:col>
      <xdr:colOff>1384300</xdr:colOff>
      <xdr:row>47</xdr:row>
      <xdr:rowOff>190500</xdr:rowOff>
    </xdr:to>
    <xdr:sp macro="" textlink="">
      <xdr:nvSpPr>
        <xdr:cNvPr id="17" name="TextBox 16">
          <a:extLst>
            <a:ext uri="{FF2B5EF4-FFF2-40B4-BE49-F238E27FC236}">
              <a16:creationId xmlns:a16="http://schemas.microsoft.com/office/drawing/2014/main" id="{999FC8BE-B1F1-EC48-8492-F2F8D7D67489}"/>
            </a:ext>
          </a:extLst>
        </xdr:cNvPr>
        <xdr:cNvSpPr txBox="1"/>
      </xdr:nvSpPr>
      <xdr:spPr>
        <a:xfrm>
          <a:off x="0" y="9486900"/>
          <a:ext cx="12166600" cy="927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Times New Roman" panose="02020603050405020304" pitchFamily="18" charset="0"/>
              <a:ea typeface="+mn-ea"/>
              <a:cs typeface="Times New Roman" panose="02020603050405020304" pitchFamily="18" charset="0"/>
            </a:rPr>
            <a:t>Question #2.</a:t>
          </a:r>
          <a:r>
            <a:rPr lang="en-US" sz="1400" b="0" baseline="0">
              <a:solidFill>
                <a:schemeClr val="dk1"/>
              </a:solidFill>
              <a:effectLst/>
              <a:latin typeface="Times New Roman" panose="02020603050405020304" pitchFamily="18" charset="0"/>
              <a:ea typeface="+mn-ea"/>
              <a:cs typeface="Times New Roman" panose="02020603050405020304" pitchFamily="18" charset="0"/>
            </a:rPr>
            <a:t> </a:t>
          </a:r>
          <a:r>
            <a:rPr lang="en-US" sz="1400">
              <a:solidFill>
                <a:schemeClr val="dk1"/>
              </a:solidFill>
              <a:effectLst/>
              <a:latin typeface="Times New Roman" panose="02020603050405020304" pitchFamily="18" charset="0"/>
              <a:ea typeface="+mn-ea"/>
              <a:cs typeface="Times New Roman" panose="02020603050405020304" pitchFamily="18" charset="0"/>
            </a:rPr>
            <a:t>At the planned “liquidity event” in March 2030, what will Ken Cook’s shares in XL be worth?  What annual rate of return (compounded) on his original $30,000 investment does this represent?  What will both of the other co-founders’ shares be worth?  What annual rate of return (compounded) on their original $10,000 investments does this represent?  What will Cathy’s converted shares be worth?  What annual rate of return (compounded) on her original $400,000 investment does this represent?  Finally, explain any difference between the rate of return earned by Ken and that earned by each of the other co-founders.</a:t>
          </a:r>
          <a:endParaRPr lang="en-CN" sz="14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0</xdr:colOff>
      <xdr:row>60</xdr:row>
      <xdr:rowOff>0</xdr:rowOff>
    </xdr:from>
    <xdr:to>
      <xdr:col>6</xdr:col>
      <xdr:colOff>1562100</xdr:colOff>
      <xdr:row>63</xdr:row>
      <xdr:rowOff>127000</xdr:rowOff>
    </xdr:to>
    <xdr:sp macro="" textlink="">
      <xdr:nvSpPr>
        <xdr:cNvPr id="18" name="TextBox 17">
          <a:extLst>
            <a:ext uri="{FF2B5EF4-FFF2-40B4-BE49-F238E27FC236}">
              <a16:creationId xmlns:a16="http://schemas.microsoft.com/office/drawing/2014/main" id="{213C8FB6-A4B4-CCC0-B6B1-62158165C198}"/>
            </a:ext>
          </a:extLst>
        </xdr:cNvPr>
        <xdr:cNvSpPr txBox="1"/>
      </xdr:nvSpPr>
      <xdr:spPr>
        <a:xfrm>
          <a:off x="0" y="12382500"/>
          <a:ext cx="12344400" cy="736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Times New Roman" panose="02020603050405020304" pitchFamily="18" charset="0"/>
              <a:ea typeface="+mn-ea"/>
              <a:cs typeface="Times New Roman" panose="02020603050405020304" pitchFamily="18" charset="0"/>
            </a:rPr>
            <a:t>Question #3.</a:t>
          </a:r>
          <a:r>
            <a:rPr lang="en-US" sz="1400" b="0" baseline="0">
              <a:solidFill>
                <a:schemeClr val="dk1"/>
              </a:solidFill>
              <a:effectLst/>
              <a:latin typeface="Times New Roman" panose="02020603050405020304" pitchFamily="18" charset="0"/>
              <a:ea typeface="+mn-ea"/>
              <a:cs typeface="Times New Roman" panose="02020603050405020304" pitchFamily="18" charset="0"/>
            </a:rPr>
            <a:t> </a:t>
          </a:r>
          <a:r>
            <a:rPr lang="en-US" sz="1400">
              <a:solidFill>
                <a:schemeClr val="dk1"/>
              </a:solidFill>
              <a:effectLst/>
              <a:latin typeface="Times New Roman" panose="02020603050405020304" pitchFamily="18" charset="0"/>
              <a:ea typeface="+mn-ea"/>
              <a:cs typeface="Times New Roman" panose="02020603050405020304" pitchFamily="18" charset="0"/>
            </a:rPr>
            <a:t>Ken briefly considered the alternative of eliminating the Series B and Series C rounds and, instead, raising the total amount of $17,000,000 in the initial Series A round.  He assumed investors in this priced round would require a 50% per annum (compounded) rate of return.  After analyzing this alternative, Ken did not pursue it.  Why did he decide this?</a:t>
          </a:r>
          <a:endParaRPr lang="en-CN" sz="14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editAs="oneCell">
    <xdr:from>
      <xdr:col>2</xdr:col>
      <xdr:colOff>63500</xdr:colOff>
      <xdr:row>65</xdr:row>
      <xdr:rowOff>50800</xdr:rowOff>
    </xdr:from>
    <xdr:to>
      <xdr:col>3</xdr:col>
      <xdr:colOff>749300</xdr:colOff>
      <xdr:row>67</xdr:row>
      <xdr:rowOff>22933</xdr:rowOff>
    </xdr:to>
    <xdr:pic>
      <xdr:nvPicPr>
        <xdr:cNvPr id="19" name="Picture 18">
          <a:extLst>
            <a:ext uri="{FF2B5EF4-FFF2-40B4-BE49-F238E27FC236}">
              <a16:creationId xmlns:a16="http://schemas.microsoft.com/office/drawing/2014/main" id="{C7E4B847-9D7E-BD4C-934A-A1743D977094}"/>
            </a:ext>
          </a:extLst>
        </xdr:cNvPr>
        <xdr:cNvPicPr>
          <a:picLocks noChangeAspect="1"/>
        </xdr:cNvPicPr>
      </xdr:nvPicPr>
      <xdr:blipFill rotWithShape="1">
        <a:blip xmlns:r="http://schemas.openxmlformats.org/officeDocument/2006/relationships" r:embed="rId2"/>
        <a:srcRect t="59616" r="71242"/>
        <a:stretch/>
      </xdr:blipFill>
      <xdr:spPr>
        <a:xfrm>
          <a:off x="4038600" y="13741400"/>
          <a:ext cx="2235200" cy="378533"/>
        </a:xfrm>
        <a:prstGeom prst="rect">
          <a:avLst/>
        </a:prstGeom>
      </xdr:spPr>
    </xdr:pic>
    <xdr:clientData/>
  </xdr:twoCellAnchor>
  <xdr:twoCellAnchor>
    <xdr:from>
      <xdr:col>0</xdr:col>
      <xdr:colOff>0</xdr:colOff>
      <xdr:row>56</xdr:row>
      <xdr:rowOff>139700</xdr:rowOff>
    </xdr:from>
    <xdr:to>
      <xdr:col>6</xdr:col>
      <xdr:colOff>1244600</xdr:colOff>
      <xdr:row>59</xdr:row>
      <xdr:rowOff>38100</xdr:rowOff>
    </xdr:to>
    <xdr:sp macro="" textlink="">
      <xdr:nvSpPr>
        <xdr:cNvPr id="20" name="TextBox 19">
          <a:extLst>
            <a:ext uri="{FF2B5EF4-FFF2-40B4-BE49-F238E27FC236}">
              <a16:creationId xmlns:a16="http://schemas.microsoft.com/office/drawing/2014/main" id="{D4708E13-D3B4-630D-A0C3-6A9DA967C374}"/>
            </a:ext>
          </a:extLst>
        </xdr:cNvPr>
        <xdr:cNvSpPr txBox="1"/>
      </xdr:nvSpPr>
      <xdr:spPr>
        <a:xfrm>
          <a:off x="0" y="12319000"/>
          <a:ext cx="12026900" cy="5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a:solidFill>
                <a:schemeClr val="dk1"/>
              </a:solidFill>
              <a:effectLst/>
              <a:latin typeface="Times New Roman" panose="02020603050405020304" pitchFamily="18" charset="0"/>
              <a:ea typeface="+mn-ea"/>
              <a:cs typeface="Times New Roman" panose="02020603050405020304" pitchFamily="18" charset="0"/>
            </a:rPr>
            <a:t>Kenneth put in $30,000 and got 350,000 shares (price per share = $0.086), whereas each other co‐founder paid $0.133 per share. Since Ken’s cost‐basis is lower, once the company grows to a high valuation at exit, his overall multiple is bigger. Thus, Kenneth’s IRR is higher than the other co‐founders’.</a:t>
          </a:r>
          <a:endParaRPr lang="en-CN" sz="14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0</xdr:colOff>
      <xdr:row>71</xdr:row>
      <xdr:rowOff>139700</xdr:rowOff>
    </xdr:from>
    <xdr:to>
      <xdr:col>6</xdr:col>
      <xdr:colOff>1244600</xdr:colOff>
      <xdr:row>75</xdr:row>
      <xdr:rowOff>63500</xdr:rowOff>
    </xdr:to>
    <xdr:sp macro="" textlink="">
      <xdr:nvSpPr>
        <xdr:cNvPr id="21" name="TextBox 20">
          <a:extLst>
            <a:ext uri="{FF2B5EF4-FFF2-40B4-BE49-F238E27FC236}">
              <a16:creationId xmlns:a16="http://schemas.microsoft.com/office/drawing/2014/main" id="{42F02385-8644-E443-88DA-947E14E8E216}"/>
            </a:ext>
          </a:extLst>
        </xdr:cNvPr>
        <xdr:cNvSpPr txBox="1"/>
      </xdr:nvSpPr>
      <xdr:spPr>
        <a:xfrm>
          <a:off x="0" y="15659100"/>
          <a:ext cx="12026900" cy="736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a:solidFill>
                <a:schemeClr val="dk1"/>
              </a:solidFill>
              <a:effectLst/>
              <a:latin typeface="Times New Roman" panose="02020603050405020304" pitchFamily="18" charset="0"/>
              <a:ea typeface="+mn-ea"/>
              <a:cs typeface="Times New Roman" panose="02020603050405020304" pitchFamily="18" charset="0"/>
            </a:rPr>
            <a:t>This</a:t>
          </a:r>
          <a:r>
            <a:rPr lang="en-US" sz="1400" baseline="0">
              <a:solidFill>
                <a:schemeClr val="dk1"/>
              </a:solidFill>
              <a:effectLst/>
              <a:latin typeface="Times New Roman" panose="02020603050405020304" pitchFamily="18" charset="0"/>
              <a:ea typeface="+mn-ea"/>
              <a:cs typeface="Times New Roman" panose="02020603050405020304" pitchFamily="18" charset="0"/>
            </a:rPr>
            <a:t> means the new investor would need 141.86% ownership which </a:t>
          </a:r>
          <a:r>
            <a:rPr lang="en-US" sz="1400">
              <a:solidFill>
                <a:schemeClr val="dk1"/>
              </a:solidFill>
              <a:effectLst/>
              <a:latin typeface="Times New Roman" panose="02020603050405020304" pitchFamily="18" charset="0"/>
              <a:ea typeface="+mn-ea"/>
              <a:cs typeface="Times New Roman" panose="02020603050405020304" pitchFamily="18" charset="0"/>
            </a:rPr>
            <a:t>exceeds 100% - this is impossible. The company would need to be worth more than $129.1 million at exit to make this viable, which is significantly higher than the projected $91 million terminal value. Compare that to staging the investment across A (50% p.a.), B (40%), and C (30%), each round priced at a higher valuation so that the founders (and early stakeholders) keep substantially more.</a:t>
          </a:r>
        </a:p>
        <a:p>
          <a:pPr marL="0" marR="0" lvl="0" indent="0" defTabSz="914400" eaLnBrk="1" fontAlgn="auto" latinLnBrk="0" hangingPunct="1">
            <a:lnSpc>
              <a:spcPct val="100000"/>
            </a:lnSpc>
            <a:spcBef>
              <a:spcPts val="0"/>
            </a:spcBef>
            <a:spcAft>
              <a:spcPts val="0"/>
            </a:spcAft>
            <a:buClrTx/>
            <a:buSzTx/>
            <a:buFontTx/>
            <a:buNone/>
            <a:tabLst/>
            <a:defRPr/>
          </a:pPr>
          <a:endParaRPr lang="en-US" sz="14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101600</xdr:colOff>
      <xdr:row>1</xdr:row>
      <xdr:rowOff>76200</xdr:rowOff>
    </xdr:from>
    <xdr:to>
      <xdr:col>10</xdr:col>
      <xdr:colOff>419100</xdr:colOff>
      <xdr:row>5</xdr:row>
      <xdr:rowOff>25400</xdr:rowOff>
    </xdr:to>
    <xdr:sp macro="" textlink="">
      <xdr:nvSpPr>
        <xdr:cNvPr id="2" name="TextBox 1">
          <a:extLst>
            <a:ext uri="{FF2B5EF4-FFF2-40B4-BE49-F238E27FC236}">
              <a16:creationId xmlns:a16="http://schemas.microsoft.com/office/drawing/2014/main" id="{24BA6E8A-1F79-B551-A7EB-ED2ABB78734C}"/>
            </a:ext>
          </a:extLst>
        </xdr:cNvPr>
        <xdr:cNvSpPr txBox="1"/>
      </xdr:nvSpPr>
      <xdr:spPr>
        <a:xfrm>
          <a:off x="101600" y="279400"/>
          <a:ext cx="1503680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dk1"/>
              </a:solidFill>
              <a:effectLst/>
              <a:latin typeface="Times New Roman" panose="02020603050405020304" pitchFamily="18" charset="0"/>
              <a:ea typeface="+mn-ea"/>
              <a:cs typeface="Times New Roman" panose="02020603050405020304" pitchFamily="18" charset="0"/>
            </a:rPr>
            <a:t>Question #4.</a:t>
          </a:r>
          <a:r>
            <a:rPr lang="en-US" sz="1400" b="0" baseline="0">
              <a:solidFill>
                <a:schemeClr val="dk1"/>
              </a:solidFill>
              <a:effectLst/>
              <a:latin typeface="Times New Roman" panose="02020603050405020304" pitchFamily="18" charset="0"/>
              <a:ea typeface="+mn-ea"/>
              <a:cs typeface="Times New Roman" panose="02020603050405020304" pitchFamily="18" charset="0"/>
            </a:rPr>
            <a:t> </a:t>
          </a:r>
          <a:r>
            <a:rPr lang="en-US" sz="1400">
              <a:solidFill>
                <a:schemeClr val="dk1"/>
              </a:solidFill>
              <a:effectLst/>
              <a:latin typeface="Times New Roman" panose="02020603050405020304" pitchFamily="18" charset="0"/>
              <a:ea typeface="+mn-ea"/>
              <a:cs typeface="Times New Roman" panose="02020603050405020304" pitchFamily="18" charset="0"/>
            </a:rPr>
            <a:t>Based on their prior experience, Cathy and Jerry believe that stock options will be needed as incentives to recruit a management team for XL.  They convince Ken to plan for the </a:t>
          </a:r>
          <a:r>
            <a:rPr lang="en-US" sz="1400" u="sng">
              <a:solidFill>
                <a:schemeClr val="dk1"/>
              </a:solidFill>
              <a:effectLst/>
              <a:latin typeface="Times New Roman" panose="02020603050405020304" pitchFamily="18" charset="0"/>
              <a:ea typeface="+mn-ea"/>
              <a:cs typeface="Times New Roman" panose="02020603050405020304" pitchFamily="18" charset="0"/>
            </a:rPr>
            <a:t>future</a:t>
          </a:r>
          <a:r>
            <a:rPr lang="en-US" sz="1400">
              <a:solidFill>
                <a:schemeClr val="dk1"/>
              </a:solidFill>
              <a:effectLst/>
              <a:latin typeface="Times New Roman" panose="02020603050405020304" pitchFamily="18" charset="0"/>
              <a:ea typeface="+mn-ea"/>
              <a:cs typeface="Times New Roman" panose="02020603050405020304" pitchFamily="18" charset="0"/>
            </a:rPr>
            <a:t> creation of a pool of new XL shares for incentive stock options equal, in total, to 10% of the company </a:t>
          </a:r>
          <a:r>
            <a:rPr lang="en-US" sz="1400" u="sng">
              <a:solidFill>
                <a:schemeClr val="dk1"/>
              </a:solidFill>
              <a:effectLst/>
              <a:latin typeface="Times New Roman" panose="02020603050405020304" pitchFamily="18" charset="0"/>
              <a:ea typeface="+mn-ea"/>
              <a:cs typeface="Times New Roman" panose="02020603050405020304" pitchFamily="18" charset="0"/>
            </a:rPr>
            <a:t>at the time of the liquidity event</a:t>
          </a:r>
          <a:r>
            <a:rPr lang="en-US" sz="1400">
              <a:solidFill>
                <a:schemeClr val="dk1"/>
              </a:solidFill>
              <a:effectLst/>
              <a:latin typeface="Times New Roman" panose="02020603050405020304" pitchFamily="18" charset="0"/>
              <a:ea typeface="+mn-ea"/>
              <a:cs typeface="Times New Roman" panose="02020603050405020304" pitchFamily="18" charset="0"/>
            </a:rPr>
            <a:t> in 2030.  Given this plan to create a </a:t>
          </a:r>
          <a:r>
            <a:rPr lang="en-US" sz="1400" u="sng">
              <a:solidFill>
                <a:schemeClr val="dk1"/>
              </a:solidFill>
              <a:effectLst/>
              <a:latin typeface="Times New Roman" panose="02020603050405020304" pitchFamily="18" charset="0"/>
              <a:ea typeface="+mn-ea"/>
              <a:cs typeface="Times New Roman" panose="02020603050405020304" pitchFamily="18" charset="0"/>
            </a:rPr>
            <a:t>future</a:t>
          </a:r>
          <a:r>
            <a:rPr lang="en-US" sz="1400">
              <a:solidFill>
                <a:schemeClr val="dk1"/>
              </a:solidFill>
              <a:effectLst/>
              <a:latin typeface="Times New Roman" panose="02020603050405020304" pitchFamily="18" charset="0"/>
              <a:ea typeface="+mn-ea"/>
              <a:cs typeface="Times New Roman" panose="02020603050405020304" pitchFamily="18" charset="0"/>
            </a:rPr>
            <a:t> pool of incentive stock options immediately prior to the liquidity event, recalculate your answers to questions #1a, #1b and #2.</a:t>
          </a:r>
          <a:endParaRPr lang="en-CN" sz="14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editAs="oneCell">
    <xdr:from>
      <xdr:col>2</xdr:col>
      <xdr:colOff>152400</xdr:colOff>
      <xdr:row>12</xdr:row>
      <xdr:rowOff>127000</xdr:rowOff>
    </xdr:from>
    <xdr:to>
      <xdr:col>4</xdr:col>
      <xdr:colOff>1360741</xdr:colOff>
      <xdr:row>17</xdr:row>
      <xdr:rowOff>76200</xdr:rowOff>
    </xdr:to>
    <xdr:pic>
      <xdr:nvPicPr>
        <xdr:cNvPr id="3" name="Picture 2">
          <a:extLst>
            <a:ext uri="{FF2B5EF4-FFF2-40B4-BE49-F238E27FC236}">
              <a16:creationId xmlns:a16="http://schemas.microsoft.com/office/drawing/2014/main" id="{DEDF367C-F220-C646-B428-4ABD20F1FDD8}"/>
            </a:ext>
          </a:extLst>
        </xdr:cNvPr>
        <xdr:cNvPicPr>
          <a:picLocks noChangeAspect="1"/>
        </xdr:cNvPicPr>
      </xdr:nvPicPr>
      <xdr:blipFill>
        <a:blip xmlns:r="http://schemas.openxmlformats.org/officeDocument/2006/relationships" r:embed="rId1"/>
        <a:stretch>
          <a:fillRect/>
        </a:stretch>
      </xdr:blipFill>
      <xdr:spPr>
        <a:xfrm>
          <a:off x="4127500" y="2603500"/>
          <a:ext cx="4294441" cy="965200"/>
        </a:xfrm>
        <a:prstGeom prst="rect">
          <a:avLst/>
        </a:prstGeom>
      </xdr:spPr>
    </xdr:pic>
    <xdr:clientData/>
  </xdr:twoCellAnchor>
  <xdr:twoCellAnchor editAs="oneCell">
    <xdr:from>
      <xdr:col>6</xdr:col>
      <xdr:colOff>596900</xdr:colOff>
      <xdr:row>19</xdr:row>
      <xdr:rowOff>114300</xdr:rowOff>
    </xdr:from>
    <xdr:to>
      <xdr:col>7</xdr:col>
      <xdr:colOff>660400</xdr:colOff>
      <xdr:row>20</xdr:row>
      <xdr:rowOff>289633</xdr:rowOff>
    </xdr:to>
    <xdr:pic>
      <xdr:nvPicPr>
        <xdr:cNvPr id="4" name="Picture 3">
          <a:extLst>
            <a:ext uri="{FF2B5EF4-FFF2-40B4-BE49-F238E27FC236}">
              <a16:creationId xmlns:a16="http://schemas.microsoft.com/office/drawing/2014/main" id="{1A6C1B8F-B49D-7764-A2F3-9C848E0C0930}"/>
            </a:ext>
          </a:extLst>
        </xdr:cNvPr>
        <xdr:cNvPicPr>
          <a:picLocks noChangeAspect="1"/>
        </xdr:cNvPicPr>
      </xdr:nvPicPr>
      <xdr:blipFill rotWithShape="1">
        <a:blip xmlns:r="http://schemas.openxmlformats.org/officeDocument/2006/relationships" r:embed="rId2"/>
        <a:srcRect t="59616" r="71242"/>
        <a:stretch/>
      </xdr:blipFill>
      <xdr:spPr>
        <a:xfrm>
          <a:off x="9207500" y="4013200"/>
          <a:ext cx="2235200" cy="378533"/>
        </a:xfrm>
        <a:prstGeom prst="rect">
          <a:avLst/>
        </a:prstGeom>
      </xdr:spPr>
    </xdr:pic>
    <xdr:clientData/>
  </xdr:twoCellAnchor>
  <xdr:twoCellAnchor editAs="oneCell">
    <xdr:from>
      <xdr:col>6</xdr:col>
      <xdr:colOff>584200</xdr:colOff>
      <xdr:row>20</xdr:row>
      <xdr:rowOff>279400</xdr:rowOff>
    </xdr:from>
    <xdr:to>
      <xdr:col>8</xdr:col>
      <xdr:colOff>863600</xdr:colOff>
      <xdr:row>23</xdr:row>
      <xdr:rowOff>0</xdr:rowOff>
    </xdr:to>
    <xdr:pic>
      <xdr:nvPicPr>
        <xdr:cNvPr id="5" name="Picture 4">
          <a:extLst>
            <a:ext uri="{FF2B5EF4-FFF2-40B4-BE49-F238E27FC236}">
              <a16:creationId xmlns:a16="http://schemas.microsoft.com/office/drawing/2014/main" id="{79E03B78-CF6A-0EAB-04EA-472CAB58CF50}"/>
            </a:ext>
          </a:extLst>
        </xdr:cNvPr>
        <xdr:cNvPicPr>
          <a:picLocks noChangeAspect="1"/>
        </xdr:cNvPicPr>
      </xdr:nvPicPr>
      <xdr:blipFill rotWithShape="1">
        <a:blip xmlns:r="http://schemas.openxmlformats.org/officeDocument/2006/relationships" r:embed="rId3"/>
        <a:srcRect t="50513" r="40849" b="-304"/>
        <a:stretch/>
      </xdr:blipFill>
      <xdr:spPr>
        <a:xfrm>
          <a:off x="9194800" y="4381500"/>
          <a:ext cx="4597400" cy="876300"/>
        </a:xfrm>
        <a:prstGeom prst="rect">
          <a:avLst/>
        </a:prstGeom>
      </xdr:spPr>
    </xdr:pic>
    <xdr:clientData/>
  </xdr:twoCellAnchor>
  <xdr:twoCellAnchor editAs="oneCell">
    <xdr:from>
      <xdr:col>6</xdr:col>
      <xdr:colOff>800099</xdr:colOff>
      <xdr:row>24</xdr:row>
      <xdr:rowOff>12700</xdr:rowOff>
    </xdr:from>
    <xdr:to>
      <xdr:col>7</xdr:col>
      <xdr:colOff>2006600</xdr:colOff>
      <xdr:row>29</xdr:row>
      <xdr:rowOff>16534</xdr:rowOff>
    </xdr:to>
    <xdr:pic>
      <xdr:nvPicPr>
        <xdr:cNvPr id="9" name="Picture 8">
          <a:extLst>
            <a:ext uri="{FF2B5EF4-FFF2-40B4-BE49-F238E27FC236}">
              <a16:creationId xmlns:a16="http://schemas.microsoft.com/office/drawing/2014/main" id="{878AA453-6475-34C2-E4AF-5D55D9B4CA2F}"/>
            </a:ext>
          </a:extLst>
        </xdr:cNvPr>
        <xdr:cNvPicPr>
          <a:picLocks noChangeAspect="1"/>
        </xdr:cNvPicPr>
      </xdr:nvPicPr>
      <xdr:blipFill>
        <a:blip xmlns:r="http://schemas.openxmlformats.org/officeDocument/2006/relationships" r:embed="rId4"/>
        <a:stretch>
          <a:fillRect/>
        </a:stretch>
      </xdr:blipFill>
      <xdr:spPr>
        <a:xfrm>
          <a:off x="12052299" y="5473700"/>
          <a:ext cx="3378201" cy="1019834"/>
        </a:xfrm>
        <a:prstGeom prst="rect">
          <a:avLst/>
        </a:prstGeom>
      </xdr:spPr>
    </xdr:pic>
    <xdr:clientData/>
  </xdr:twoCellAnchor>
  <xdr:twoCellAnchor editAs="oneCell">
    <xdr:from>
      <xdr:col>9</xdr:col>
      <xdr:colOff>241300</xdr:colOff>
      <xdr:row>23</xdr:row>
      <xdr:rowOff>134334</xdr:rowOff>
    </xdr:from>
    <xdr:to>
      <xdr:col>13</xdr:col>
      <xdr:colOff>484257</xdr:colOff>
      <xdr:row>29</xdr:row>
      <xdr:rowOff>63500</xdr:rowOff>
    </xdr:to>
    <xdr:pic>
      <xdr:nvPicPr>
        <xdr:cNvPr id="10" name="Picture 9">
          <a:extLst>
            <a:ext uri="{FF2B5EF4-FFF2-40B4-BE49-F238E27FC236}">
              <a16:creationId xmlns:a16="http://schemas.microsoft.com/office/drawing/2014/main" id="{25015D93-3408-AB03-0E32-6CE579363FE6}"/>
            </a:ext>
          </a:extLst>
        </xdr:cNvPr>
        <xdr:cNvPicPr>
          <a:picLocks noChangeAspect="1"/>
        </xdr:cNvPicPr>
      </xdr:nvPicPr>
      <xdr:blipFill>
        <a:blip xmlns:r="http://schemas.openxmlformats.org/officeDocument/2006/relationships" r:embed="rId5"/>
        <a:stretch>
          <a:fillRect/>
        </a:stretch>
      </xdr:blipFill>
      <xdr:spPr>
        <a:xfrm>
          <a:off x="15430500" y="5392134"/>
          <a:ext cx="3544957" cy="1148366"/>
        </a:xfrm>
        <a:prstGeom prst="rect">
          <a:avLst/>
        </a:prstGeom>
      </xdr:spPr>
    </xdr:pic>
    <xdr:clientData/>
  </xdr:twoCellAnchor>
  <xdr:twoCellAnchor editAs="oneCell">
    <xdr:from>
      <xdr:col>6</xdr:col>
      <xdr:colOff>736600</xdr:colOff>
      <xdr:row>31</xdr:row>
      <xdr:rowOff>38100</xdr:rowOff>
    </xdr:from>
    <xdr:to>
      <xdr:col>9</xdr:col>
      <xdr:colOff>520700</xdr:colOff>
      <xdr:row>35</xdr:row>
      <xdr:rowOff>180009</xdr:rowOff>
    </xdr:to>
    <xdr:pic>
      <xdr:nvPicPr>
        <xdr:cNvPr id="11" name="Picture 10">
          <a:extLst>
            <a:ext uri="{FF2B5EF4-FFF2-40B4-BE49-F238E27FC236}">
              <a16:creationId xmlns:a16="http://schemas.microsoft.com/office/drawing/2014/main" id="{691860C7-0EB4-4A05-1F7F-4E79F84D1839}"/>
            </a:ext>
          </a:extLst>
        </xdr:cNvPr>
        <xdr:cNvPicPr>
          <a:picLocks noChangeAspect="1"/>
        </xdr:cNvPicPr>
      </xdr:nvPicPr>
      <xdr:blipFill>
        <a:blip xmlns:r="http://schemas.openxmlformats.org/officeDocument/2006/relationships" r:embed="rId6"/>
        <a:stretch>
          <a:fillRect/>
        </a:stretch>
      </xdr:blipFill>
      <xdr:spPr>
        <a:xfrm>
          <a:off x="11988800" y="6718300"/>
          <a:ext cx="5067300" cy="954709"/>
        </a:xfrm>
        <a:prstGeom prst="rect">
          <a:avLst/>
        </a:prstGeom>
      </xdr:spPr>
    </xdr:pic>
    <xdr:clientData/>
  </xdr:twoCellAnchor>
  <xdr:twoCellAnchor editAs="oneCell">
    <xdr:from>
      <xdr:col>9</xdr:col>
      <xdr:colOff>482600</xdr:colOff>
      <xdr:row>31</xdr:row>
      <xdr:rowOff>101600</xdr:rowOff>
    </xdr:from>
    <xdr:to>
      <xdr:col>16</xdr:col>
      <xdr:colOff>508000</xdr:colOff>
      <xdr:row>36</xdr:row>
      <xdr:rowOff>1230</xdr:rowOff>
    </xdr:to>
    <xdr:pic>
      <xdr:nvPicPr>
        <xdr:cNvPr id="12" name="Picture 11">
          <a:extLst>
            <a:ext uri="{FF2B5EF4-FFF2-40B4-BE49-F238E27FC236}">
              <a16:creationId xmlns:a16="http://schemas.microsoft.com/office/drawing/2014/main" id="{7286CB0C-809E-40D1-9D2F-F3B57E130494}"/>
            </a:ext>
          </a:extLst>
        </xdr:cNvPr>
        <xdr:cNvPicPr>
          <a:picLocks noChangeAspect="1"/>
        </xdr:cNvPicPr>
      </xdr:nvPicPr>
      <xdr:blipFill>
        <a:blip xmlns:r="http://schemas.openxmlformats.org/officeDocument/2006/relationships" r:embed="rId7"/>
        <a:stretch>
          <a:fillRect/>
        </a:stretch>
      </xdr:blipFill>
      <xdr:spPr>
        <a:xfrm>
          <a:off x="17018000" y="6781800"/>
          <a:ext cx="5803900" cy="907815"/>
        </a:xfrm>
        <a:prstGeom prst="rect">
          <a:avLst/>
        </a:prstGeom>
      </xdr:spPr>
    </xdr:pic>
    <xdr:clientData/>
  </xdr:twoCellAnchor>
  <xdr:twoCellAnchor editAs="oneCell">
    <xdr:from>
      <xdr:col>8</xdr:col>
      <xdr:colOff>88900</xdr:colOff>
      <xdr:row>6</xdr:row>
      <xdr:rowOff>150806</xdr:rowOff>
    </xdr:from>
    <xdr:to>
      <xdr:col>15</xdr:col>
      <xdr:colOff>711200</xdr:colOff>
      <xdr:row>9</xdr:row>
      <xdr:rowOff>7815</xdr:rowOff>
    </xdr:to>
    <xdr:pic>
      <xdr:nvPicPr>
        <xdr:cNvPr id="13" name="Picture 12">
          <a:extLst>
            <a:ext uri="{FF2B5EF4-FFF2-40B4-BE49-F238E27FC236}">
              <a16:creationId xmlns:a16="http://schemas.microsoft.com/office/drawing/2014/main" id="{BCE5D27B-6929-3E4E-6258-C2AC04B81C88}"/>
            </a:ext>
          </a:extLst>
        </xdr:cNvPr>
        <xdr:cNvPicPr>
          <a:picLocks noChangeAspect="1"/>
        </xdr:cNvPicPr>
      </xdr:nvPicPr>
      <xdr:blipFill>
        <a:blip xmlns:r="http://schemas.openxmlformats.org/officeDocument/2006/relationships" r:embed="rId8"/>
        <a:stretch>
          <a:fillRect/>
        </a:stretch>
      </xdr:blipFill>
      <xdr:spPr>
        <a:xfrm>
          <a:off x="16205200" y="1370006"/>
          <a:ext cx="6540500" cy="496893"/>
        </a:xfrm>
        <a:prstGeom prst="rect">
          <a:avLst/>
        </a:prstGeom>
      </xdr:spPr>
    </xdr:pic>
    <xdr:clientData/>
  </xdr:twoCellAnchor>
  <xdr:twoCellAnchor editAs="oneCell">
    <xdr:from>
      <xdr:col>8</xdr:col>
      <xdr:colOff>88900</xdr:colOff>
      <xdr:row>8</xdr:row>
      <xdr:rowOff>190500</xdr:rowOff>
    </xdr:from>
    <xdr:to>
      <xdr:col>13</xdr:col>
      <xdr:colOff>647700</xdr:colOff>
      <xdr:row>13</xdr:row>
      <xdr:rowOff>0</xdr:rowOff>
    </xdr:to>
    <xdr:pic>
      <xdr:nvPicPr>
        <xdr:cNvPr id="14" name="Picture 13">
          <a:extLst>
            <a:ext uri="{FF2B5EF4-FFF2-40B4-BE49-F238E27FC236}">
              <a16:creationId xmlns:a16="http://schemas.microsoft.com/office/drawing/2014/main" id="{EFAC759C-BA16-9A38-DD1E-DB2CBA443145}"/>
            </a:ext>
          </a:extLst>
        </xdr:cNvPr>
        <xdr:cNvPicPr>
          <a:picLocks noChangeAspect="1"/>
        </xdr:cNvPicPr>
      </xdr:nvPicPr>
      <xdr:blipFill>
        <a:blip xmlns:r="http://schemas.openxmlformats.org/officeDocument/2006/relationships" r:embed="rId9"/>
        <a:stretch>
          <a:fillRect/>
        </a:stretch>
      </xdr:blipFill>
      <xdr:spPr>
        <a:xfrm>
          <a:off x="16205200" y="1854200"/>
          <a:ext cx="4826000" cy="825500"/>
        </a:xfrm>
        <a:prstGeom prst="rect">
          <a:avLst/>
        </a:prstGeom>
      </xdr:spPr>
    </xdr:pic>
    <xdr:clientData/>
  </xdr:twoCellAnchor>
  <xdr:twoCellAnchor editAs="oneCell">
    <xdr:from>
      <xdr:col>8</xdr:col>
      <xdr:colOff>127000</xdr:colOff>
      <xdr:row>14</xdr:row>
      <xdr:rowOff>12700</xdr:rowOff>
    </xdr:from>
    <xdr:to>
      <xdr:col>11</xdr:col>
      <xdr:colOff>292100</xdr:colOff>
      <xdr:row>17</xdr:row>
      <xdr:rowOff>59252</xdr:rowOff>
    </xdr:to>
    <xdr:pic>
      <xdr:nvPicPr>
        <xdr:cNvPr id="15" name="Picture 14">
          <a:extLst>
            <a:ext uri="{FF2B5EF4-FFF2-40B4-BE49-F238E27FC236}">
              <a16:creationId xmlns:a16="http://schemas.microsoft.com/office/drawing/2014/main" id="{23060AFF-735F-1A67-2FF7-0A8E0CE8A8B8}"/>
            </a:ext>
          </a:extLst>
        </xdr:cNvPr>
        <xdr:cNvPicPr>
          <a:picLocks noChangeAspect="1"/>
        </xdr:cNvPicPr>
      </xdr:nvPicPr>
      <xdr:blipFill>
        <a:blip xmlns:r="http://schemas.openxmlformats.org/officeDocument/2006/relationships" r:embed="rId10"/>
        <a:stretch>
          <a:fillRect/>
        </a:stretch>
      </xdr:blipFill>
      <xdr:spPr>
        <a:xfrm>
          <a:off x="16243300" y="2895600"/>
          <a:ext cx="2781300" cy="656152"/>
        </a:xfrm>
        <a:prstGeom prst="rect">
          <a:avLst/>
        </a:prstGeom>
      </xdr:spPr>
    </xdr:pic>
    <xdr:clientData/>
  </xdr:twoCellAnchor>
  <xdr:twoCellAnchor editAs="oneCell">
    <xdr:from>
      <xdr:col>11</xdr:col>
      <xdr:colOff>444500</xdr:colOff>
      <xdr:row>14</xdr:row>
      <xdr:rowOff>12700</xdr:rowOff>
    </xdr:from>
    <xdr:to>
      <xdr:col>14</xdr:col>
      <xdr:colOff>553434</xdr:colOff>
      <xdr:row>17</xdr:row>
      <xdr:rowOff>88632</xdr:rowOff>
    </xdr:to>
    <xdr:pic>
      <xdr:nvPicPr>
        <xdr:cNvPr id="16" name="Picture 15">
          <a:extLst>
            <a:ext uri="{FF2B5EF4-FFF2-40B4-BE49-F238E27FC236}">
              <a16:creationId xmlns:a16="http://schemas.microsoft.com/office/drawing/2014/main" id="{5D1043B7-7139-7B47-C6D8-F96072C70258}"/>
            </a:ext>
          </a:extLst>
        </xdr:cNvPr>
        <xdr:cNvPicPr>
          <a:picLocks noChangeAspect="1"/>
        </xdr:cNvPicPr>
      </xdr:nvPicPr>
      <xdr:blipFill>
        <a:blip xmlns:r="http://schemas.openxmlformats.org/officeDocument/2006/relationships" r:embed="rId11"/>
        <a:stretch>
          <a:fillRect/>
        </a:stretch>
      </xdr:blipFill>
      <xdr:spPr>
        <a:xfrm>
          <a:off x="19177000" y="2895600"/>
          <a:ext cx="2585434" cy="685532"/>
        </a:xfrm>
        <a:prstGeom prst="rect">
          <a:avLst/>
        </a:prstGeom>
      </xdr:spPr>
    </xdr:pic>
    <xdr:clientData/>
  </xdr:twoCellAnchor>
  <xdr:twoCellAnchor editAs="oneCell">
    <xdr:from>
      <xdr:col>6</xdr:col>
      <xdr:colOff>317500</xdr:colOff>
      <xdr:row>37</xdr:row>
      <xdr:rowOff>12700</xdr:rowOff>
    </xdr:from>
    <xdr:to>
      <xdr:col>7</xdr:col>
      <xdr:colOff>1821140</xdr:colOff>
      <xdr:row>40</xdr:row>
      <xdr:rowOff>76200</xdr:rowOff>
    </xdr:to>
    <xdr:pic>
      <xdr:nvPicPr>
        <xdr:cNvPr id="17" name="Picture 16">
          <a:extLst>
            <a:ext uri="{FF2B5EF4-FFF2-40B4-BE49-F238E27FC236}">
              <a16:creationId xmlns:a16="http://schemas.microsoft.com/office/drawing/2014/main" id="{0325CF7C-A854-D615-1564-018510998764}"/>
            </a:ext>
          </a:extLst>
        </xdr:cNvPr>
        <xdr:cNvPicPr>
          <a:picLocks noChangeAspect="1"/>
        </xdr:cNvPicPr>
      </xdr:nvPicPr>
      <xdr:blipFill>
        <a:blip xmlns:r="http://schemas.openxmlformats.org/officeDocument/2006/relationships" r:embed="rId12"/>
        <a:stretch>
          <a:fillRect/>
        </a:stretch>
      </xdr:blipFill>
      <xdr:spPr>
        <a:xfrm>
          <a:off x="8928100" y="7912100"/>
          <a:ext cx="3675340" cy="673100"/>
        </a:xfrm>
        <a:prstGeom prst="rect">
          <a:avLst/>
        </a:prstGeom>
      </xdr:spPr>
    </xdr:pic>
    <xdr:clientData/>
  </xdr:twoCellAnchor>
  <xdr:twoCellAnchor editAs="oneCell">
    <xdr:from>
      <xdr:col>6</xdr:col>
      <xdr:colOff>330200</xdr:colOff>
      <xdr:row>40</xdr:row>
      <xdr:rowOff>114300</xdr:rowOff>
    </xdr:from>
    <xdr:to>
      <xdr:col>7</xdr:col>
      <xdr:colOff>772911</xdr:colOff>
      <xdr:row>44</xdr:row>
      <xdr:rowOff>12700</xdr:rowOff>
    </xdr:to>
    <xdr:pic>
      <xdr:nvPicPr>
        <xdr:cNvPr id="20" name="Picture 19">
          <a:extLst>
            <a:ext uri="{FF2B5EF4-FFF2-40B4-BE49-F238E27FC236}">
              <a16:creationId xmlns:a16="http://schemas.microsoft.com/office/drawing/2014/main" id="{BCCE664F-102E-8F30-DE1F-4606CD9FB04A}"/>
            </a:ext>
          </a:extLst>
        </xdr:cNvPr>
        <xdr:cNvPicPr>
          <a:picLocks noChangeAspect="1"/>
        </xdr:cNvPicPr>
      </xdr:nvPicPr>
      <xdr:blipFill>
        <a:blip xmlns:r="http://schemas.openxmlformats.org/officeDocument/2006/relationships" r:embed="rId13"/>
        <a:stretch>
          <a:fillRect/>
        </a:stretch>
      </xdr:blipFill>
      <xdr:spPr>
        <a:xfrm>
          <a:off x="8940800" y="8623300"/>
          <a:ext cx="2614411" cy="711200"/>
        </a:xfrm>
        <a:prstGeom prst="rect">
          <a:avLst/>
        </a:prstGeom>
      </xdr:spPr>
    </xdr:pic>
    <xdr:clientData/>
  </xdr:twoCellAnchor>
  <xdr:twoCellAnchor>
    <xdr:from>
      <xdr:col>6</xdr:col>
      <xdr:colOff>88900</xdr:colOff>
      <xdr:row>45</xdr:row>
      <xdr:rowOff>165100</xdr:rowOff>
    </xdr:from>
    <xdr:to>
      <xdr:col>8</xdr:col>
      <xdr:colOff>749300</xdr:colOff>
      <xdr:row>49</xdr:row>
      <xdr:rowOff>165100</xdr:rowOff>
    </xdr:to>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1EBB6079-65B7-2084-FA33-78D396C1B8D4}"/>
                </a:ext>
              </a:extLst>
            </xdr:cNvPr>
            <xdr:cNvSpPr txBox="1"/>
          </xdr:nvSpPr>
          <xdr:spPr>
            <a:xfrm>
              <a:off x="8699500" y="9690100"/>
              <a:ext cx="4978400" cy="850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𝑂𝑣𝑒𝑟𝑎𝑙𝑙</m:t>
                    </m:r>
                    <m:r>
                      <a:rPr lang="en-US" sz="1100" b="0" i="1">
                        <a:latin typeface="Cambria Math" panose="02040503050406030204" pitchFamily="18" charset="0"/>
                      </a:rPr>
                      <m:t> </m:t>
                    </m:r>
                    <m:r>
                      <a:rPr lang="en-US" sz="1100" b="0" i="1">
                        <a:latin typeface="Cambria Math" panose="02040503050406030204" pitchFamily="18" charset="0"/>
                      </a:rPr>
                      <m:t>𝑅𝑒𝑡𝑢𝑟𝑛</m:t>
                    </m:r>
                    <m:r>
                      <a:rPr lang="en-US" sz="1100" b="0" i="1">
                        <a:latin typeface="Cambria Math" panose="02040503050406030204" pitchFamily="18" charset="0"/>
                      </a:rPr>
                      <m:t>=</m:t>
                    </m:r>
                    <m:sSup>
                      <m:sSupPr>
                        <m:ctrlPr>
                          <a:rPr lang="en-US" sz="1100" i="1">
                            <a:latin typeface="Cambria Math" panose="02040503050406030204" pitchFamily="18" charset="0"/>
                          </a:rPr>
                        </m:ctrlPr>
                      </m:sSupPr>
                      <m:e>
                        <m:d>
                          <m:dPr>
                            <m:ctrlPr>
                              <a:rPr lang="en-US" sz="1100" i="1">
                                <a:latin typeface="Cambria Math" panose="02040503050406030204" pitchFamily="18" charset="0"/>
                              </a:rPr>
                            </m:ctrlPr>
                          </m:dPr>
                          <m:e>
                            <m:f>
                              <m:fPr>
                                <m:ctrlPr>
                                  <a:rPr lang="en-US" sz="1100" i="1">
                                    <a:latin typeface="Cambria Math" panose="02040503050406030204" pitchFamily="18" charset="0"/>
                                  </a:rPr>
                                </m:ctrlPr>
                              </m:fPr>
                              <m:num>
                                <m:r>
                                  <a:rPr lang="en-US" sz="1100" b="0" i="1">
                                    <a:latin typeface="Cambria Math" panose="02040503050406030204" pitchFamily="18" charset="0"/>
                                  </a:rPr>
                                  <m:t>𝑇𝑒𝑟𝑚𝑖𝑛𝑎𝑙</m:t>
                                </m:r>
                                <m:r>
                                  <a:rPr lang="en-US" sz="1100" b="0" i="1">
                                    <a:latin typeface="Cambria Math" panose="02040503050406030204" pitchFamily="18" charset="0"/>
                                  </a:rPr>
                                  <m:t> </m:t>
                                </m:r>
                                <m:r>
                                  <a:rPr lang="en-US" sz="1100" b="0" i="1">
                                    <a:latin typeface="Cambria Math" panose="02040503050406030204" pitchFamily="18" charset="0"/>
                                  </a:rPr>
                                  <m:t>𝐷𝑖𝑠𝑡𝑟𝑖𝑏𝑢𝑡𝑖𝑜𝑛</m:t>
                                </m:r>
                                <m:r>
                                  <a:rPr lang="en-US" sz="1100" b="0" i="1">
                                    <a:latin typeface="Cambria Math" panose="02040503050406030204" pitchFamily="18" charset="0"/>
                                  </a:rPr>
                                  <m:t> </m:t>
                                </m:r>
                                <m:r>
                                  <a:rPr lang="en-US" sz="1100" b="0" i="1">
                                    <a:latin typeface="Cambria Math" panose="02040503050406030204" pitchFamily="18" charset="0"/>
                                  </a:rPr>
                                  <m:t>𝑡𝑜</m:t>
                                </m:r>
                                <m:r>
                                  <a:rPr lang="en-US" sz="1100" b="0" i="1">
                                    <a:latin typeface="Cambria Math" panose="02040503050406030204" pitchFamily="18" charset="0"/>
                                  </a:rPr>
                                  <m:t> </m:t>
                                </m:r>
                                <m:r>
                                  <a:rPr lang="en-US" sz="1100" b="0" i="1">
                                    <a:latin typeface="Cambria Math" panose="02040503050406030204" pitchFamily="18" charset="0"/>
                                  </a:rPr>
                                  <m:t>𝐼𝑛𝑣𝑒𝑠𝑡𝑜𝑟</m:t>
                                </m:r>
                              </m:num>
                              <m:den>
                                <m:r>
                                  <a:rPr lang="en-US" sz="1100" b="0" i="1">
                                    <a:latin typeface="Cambria Math" panose="02040503050406030204" pitchFamily="18" charset="0"/>
                                  </a:rPr>
                                  <m:t>𝐼𝑛𝑣𝑒𝑠𝑡𝑚𝑒𝑛𝑡</m:t>
                                </m:r>
                              </m:den>
                            </m:f>
                          </m:e>
                        </m:d>
                      </m:e>
                      <m:sup>
                        <m:r>
                          <a:rPr lang="en-US" sz="1100" b="0" i="1">
                            <a:latin typeface="Cambria Math" panose="02040503050406030204" pitchFamily="18" charset="0"/>
                          </a:rPr>
                          <m:t>1/</m:t>
                        </m:r>
                        <m:r>
                          <a:rPr lang="en-US" sz="1100" b="0" i="1">
                            <a:latin typeface="Cambria Math" panose="02040503050406030204" pitchFamily="18" charset="0"/>
                          </a:rPr>
                          <m:t>𝑁</m:t>
                        </m:r>
                      </m:sup>
                    </m:sSup>
                    <m:r>
                      <a:rPr lang="en-US" sz="1100" b="0" i="1">
                        <a:latin typeface="Cambria Math" panose="02040503050406030204" pitchFamily="18" charset="0"/>
                      </a:rPr>
                      <m:t>−1</m:t>
                    </m:r>
                  </m:oMath>
                </m:oMathPara>
              </a14:m>
              <a:endParaRPr lang="en-US" sz="1100"/>
            </a:p>
            <a:p>
              <a:endParaRPr lang="en-US" sz="1100"/>
            </a:p>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𝑇𝑒𝑟𝑚𝑖𝑛𝑎𝑙</m:t>
                    </m:r>
                    <m:r>
                      <a:rPr lang="en-US" sz="1100" b="0" i="1">
                        <a:latin typeface="Cambria Math" panose="02040503050406030204" pitchFamily="18" charset="0"/>
                      </a:rPr>
                      <m:t> </m:t>
                    </m:r>
                    <m:r>
                      <a:rPr lang="en-US" sz="1100" b="0" i="1">
                        <a:latin typeface="Cambria Math" panose="02040503050406030204" pitchFamily="18" charset="0"/>
                      </a:rPr>
                      <m:t>𝐷𝑖𝑠𝑡𝑟𝑖𝑏𝑢𝑡𝑖𝑜𝑛</m:t>
                    </m:r>
                    <m:r>
                      <a:rPr lang="en-US" sz="1100" b="0" i="1">
                        <a:latin typeface="Cambria Math" panose="02040503050406030204" pitchFamily="18" charset="0"/>
                      </a:rPr>
                      <m:t> </m:t>
                    </m:r>
                    <m:r>
                      <a:rPr lang="en-US" sz="1100" b="0" i="1">
                        <a:latin typeface="Cambria Math" panose="02040503050406030204" pitchFamily="18" charset="0"/>
                      </a:rPr>
                      <m:t>𝑡𝑜</m:t>
                    </m:r>
                    <m:r>
                      <a:rPr lang="en-US" sz="1100" b="0" i="1">
                        <a:latin typeface="Cambria Math" panose="02040503050406030204" pitchFamily="18" charset="0"/>
                      </a:rPr>
                      <m:t> </m:t>
                    </m:r>
                    <m:r>
                      <a:rPr lang="en-US" sz="1100" b="0" i="1">
                        <a:latin typeface="Cambria Math" panose="02040503050406030204" pitchFamily="18" charset="0"/>
                      </a:rPr>
                      <m:t>𝐼𝑛𝑣𝑒𝑠𝑡𝑜𝑟</m:t>
                    </m:r>
                    <m:r>
                      <a:rPr lang="en-US" sz="1100" b="0" i="0">
                        <a:latin typeface="Cambria Math" panose="02040503050406030204" pitchFamily="18" charset="0"/>
                      </a:rPr>
                      <m:t>=</m:t>
                    </m:r>
                    <m:r>
                      <m:rPr>
                        <m:sty m:val="p"/>
                      </m:rPr>
                      <a:rPr lang="en-US" sz="1100" b="0" i="0">
                        <a:latin typeface="Cambria Math" panose="02040503050406030204" pitchFamily="18" charset="0"/>
                      </a:rPr>
                      <m:t>Terminal</m:t>
                    </m:r>
                    <m:r>
                      <a:rPr lang="en-US" sz="1100" b="0" i="0">
                        <a:latin typeface="Cambria Math" panose="02040503050406030204" pitchFamily="18" charset="0"/>
                      </a:rPr>
                      <m:t> </m:t>
                    </m:r>
                    <m:r>
                      <m:rPr>
                        <m:sty m:val="p"/>
                      </m:rPr>
                      <a:rPr lang="en-US" sz="1100" b="0" i="0">
                        <a:latin typeface="Cambria Math" panose="02040503050406030204" pitchFamily="18" charset="0"/>
                      </a:rPr>
                      <m:t>Price</m:t>
                    </m:r>
                    <m:r>
                      <a:rPr lang="en-US" sz="1100" b="0" i="0">
                        <a:latin typeface="Cambria Math" panose="02040503050406030204" pitchFamily="18" charset="0"/>
                      </a:rPr>
                      <m:t> </m:t>
                    </m:r>
                    <m:r>
                      <m:rPr>
                        <m:sty m:val="p"/>
                      </m:rPr>
                      <a:rPr lang="en-US" sz="1100" b="0" i="0">
                        <a:latin typeface="Cambria Math" panose="02040503050406030204" pitchFamily="18" charset="0"/>
                      </a:rPr>
                      <m:t>per</m:t>
                    </m:r>
                    <m:r>
                      <a:rPr lang="en-US" sz="1100" b="0" i="0">
                        <a:latin typeface="Cambria Math" panose="02040503050406030204" pitchFamily="18" charset="0"/>
                      </a:rPr>
                      <m:t> </m:t>
                    </m:r>
                    <m:r>
                      <m:rPr>
                        <m:sty m:val="p"/>
                      </m:rPr>
                      <a:rPr lang="en-US" sz="1100" b="0" i="0">
                        <a:latin typeface="Cambria Math" panose="02040503050406030204" pitchFamily="18" charset="0"/>
                      </a:rPr>
                      <m:t>Share</m:t>
                    </m:r>
                    <m:r>
                      <a:rPr lang="en-US" sz="1100" b="0" i="1">
                        <a:latin typeface="Cambria Math" panose="02040503050406030204" pitchFamily="18" charset="0"/>
                      </a:rPr>
                      <m:t> </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𝑆h𝑎𝑟𝑒𝑠</m:t>
                    </m:r>
                  </m:oMath>
                </m:oMathPara>
              </a14:m>
              <a:endParaRPr lang="en-US" sz="1100"/>
            </a:p>
          </xdr:txBody>
        </xdr:sp>
      </mc:Choice>
      <mc:Fallback xmlns="">
        <xdr:sp macro="" textlink="">
          <xdr:nvSpPr>
            <xdr:cNvPr id="22" name="TextBox 21">
              <a:extLst>
                <a:ext uri="{FF2B5EF4-FFF2-40B4-BE49-F238E27FC236}">
                  <a16:creationId xmlns:a16="http://schemas.microsoft.com/office/drawing/2014/main" id="{1EBB6079-65B7-2084-FA33-78D396C1B8D4}"/>
                </a:ext>
              </a:extLst>
            </xdr:cNvPr>
            <xdr:cNvSpPr txBox="1"/>
          </xdr:nvSpPr>
          <xdr:spPr>
            <a:xfrm>
              <a:off x="8699500" y="9690100"/>
              <a:ext cx="4978400" cy="850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latin typeface="Cambria Math" panose="02040503050406030204" pitchFamily="18" charset="0"/>
                </a:rPr>
                <a:t>𝑂𝑣𝑒𝑟𝑎𝑙𝑙 𝑅𝑒𝑡𝑢𝑟𝑛=</a:t>
              </a:r>
              <a:r>
                <a:rPr lang="en-US" sz="1100" i="0">
                  <a:latin typeface="Cambria Math" panose="02040503050406030204" pitchFamily="18" charset="0"/>
                </a:rPr>
                <a:t>((</a:t>
              </a:r>
              <a:r>
                <a:rPr lang="en-US" sz="1100" b="0" i="0">
                  <a:latin typeface="Cambria Math" panose="02040503050406030204" pitchFamily="18" charset="0"/>
                </a:rPr>
                <a:t>𝑇𝑒𝑟𝑚𝑖𝑛𝑎𝑙 𝐷𝑖𝑠𝑡𝑟𝑖𝑏𝑢𝑡𝑖𝑜𝑛 𝑡𝑜 𝐼𝑛𝑣𝑒𝑠𝑡𝑜𝑟)/𝐼𝑛𝑣𝑒𝑠𝑡𝑚𝑒𝑛𝑡)^(1/𝑁)−1</a:t>
              </a:r>
              <a:endParaRPr lang="en-US" sz="1100"/>
            </a:p>
            <a:p>
              <a:endParaRPr lang="en-US" sz="1100"/>
            </a:p>
            <a:p>
              <a:r>
                <a:rPr lang="en-US" sz="1100" b="0" i="0">
                  <a:latin typeface="Cambria Math" panose="02040503050406030204" pitchFamily="18" charset="0"/>
                </a:rPr>
                <a:t>𝑇𝑒𝑟𝑚𝑖𝑛𝑎𝑙 𝐷𝑖𝑠𝑡𝑟𝑖𝑏𝑢𝑡𝑖𝑜𝑛 𝑡𝑜 𝐼𝑛𝑣𝑒𝑠𝑡𝑜𝑟=Terminal Price per Share </a:t>
              </a:r>
              <a:r>
                <a:rPr lang="en-US" sz="1100" b="0" i="0">
                  <a:latin typeface="Cambria Math" panose="02040503050406030204" pitchFamily="18" charset="0"/>
                  <a:ea typeface="Cambria Math" panose="02040503050406030204" pitchFamily="18" charset="0"/>
                </a:rPr>
                <a:t>× #𝑆ℎ𝑎𝑟𝑒𝑠</a:t>
              </a:r>
              <a:endParaRPr lang="en-US" sz="1100"/>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152400</xdr:colOff>
      <xdr:row>12</xdr:row>
      <xdr:rowOff>127000</xdr:rowOff>
    </xdr:from>
    <xdr:to>
      <xdr:col>4</xdr:col>
      <xdr:colOff>1360741</xdr:colOff>
      <xdr:row>17</xdr:row>
      <xdr:rowOff>76200</xdr:rowOff>
    </xdr:to>
    <xdr:pic>
      <xdr:nvPicPr>
        <xdr:cNvPr id="3" name="Picture 2">
          <a:extLst>
            <a:ext uri="{FF2B5EF4-FFF2-40B4-BE49-F238E27FC236}">
              <a16:creationId xmlns:a16="http://schemas.microsoft.com/office/drawing/2014/main" id="{D9D19DEC-9D35-D842-8398-B90002CCC116}"/>
            </a:ext>
          </a:extLst>
        </xdr:cNvPr>
        <xdr:cNvPicPr>
          <a:picLocks noChangeAspect="1"/>
        </xdr:cNvPicPr>
      </xdr:nvPicPr>
      <xdr:blipFill>
        <a:blip xmlns:r="http://schemas.openxmlformats.org/officeDocument/2006/relationships" r:embed="rId1"/>
        <a:stretch>
          <a:fillRect/>
        </a:stretch>
      </xdr:blipFill>
      <xdr:spPr>
        <a:xfrm>
          <a:off x="4356100" y="2603500"/>
          <a:ext cx="4294441" cy="965200"/>
        </a:xfrm>
        <a:prstGeom prst="rect">
          <a:avLst/>
        </a:prstGeom>
      </xdr:spPr>
    </xdr:pic>
    <xdr:clientData/>
  </xdr:twoCellAnchor>
  <xdr:twoCellAnchor editAs="oneCell">
    <xdr:from>
      <xdr:col>7</xdr:col>
      <xdr:colOff>596900</xdr:colOff>
      <xdr:row>19</xdr:row>
      <xdr:rowOff>114300</xdr:rowOff>
    </xdr:from>
    <xdr:to>
      <xdr:col>8</xdr:col>
      <xdr:colOff>660400</xdr:colOff>
      <xdr:row>20</xdr:row>
      <xdr:rowOff>289633</xdr:rowOff>
    </xdr:to>
    <xdr:pic>
      <xdr:nvPicPr>
        <xdr:cNvPr id="4" name="Picture 3">
          <a:extLst>
            <a:ext uri="{FF2B5EF4-FFF2-40B4-BE49-F238E27FC236}">
              <a16:creationId xmlns:a16="http://schemas.microsoft.com/office/drawing/2014/main" id="{B4CAAD45-787C-C94E-84E0-BA64D85B65BA}"/>
            </a:ext>
          </a:extLst>
        </xdr:cNvPr>
        <xdr:cNvPicPr>
          <a:picLocks noChangeAspect="1"/>
        </xdr:cNvPicPr>
      </xdr:nvPicPr>
      <xdr:blipFill rotWithShape="1">
        <a:blip xmlns:r="http://schemas.openxmlformats.org/officeDocument/2006/relationships" r:embed="rId2"/>
        <a:srcRect t="59616" r="71242"/>
        <a:stretch/>
      </xdr:blipFill>
      <xdr:spPr>
        <a:xfrm>
          <a:off x="10985500" y="4102100"/>
          <a:ext cx="2235200" cy="378533"/>
        </a:xfrm>
        <a:prstGeom prst="rect">
          <a:avLst/>
        </a:prstGeom>
      </xdr:spPr>
    </xdr:pic>
    <xdr:clientData/>
  </xdr:twoCellAnchor>
  <xdr:twoCellAnchor editAs="oneCell">
    <xdr:from>
      <xdr:col>7</xdr:col>
      <xdr:colOff>584200</xdr:colOff>
      <xdr:row>20</xdr:row>
      <xdr:rowOff>279400</xdr:rowOff>
    </xdr:from>
    <xdr:to>
      <xdr:col>9</xdr:col>
      <xdr:colOff>863599</xdr:colOff>
      <xdr:row>23</xdr:row>
      <xdr:rowOff>0</xdr:rowOff>
    </xdr:to>
    <xdr:pic>
      <xdr:nvPicPr>
        <xdr:cNvPr id="5" name="Picture 4">
          <a:extLst>
            <a:ext uri="{FF2B5EF4-FFF2-40B4-BE49-F238E27FC236}">
              <a16:creationId xmlns:a16="http://schemas.microsoft.com/office/drawing/2014/main" id="{590F3CB7-3DD2-354C-AFC0-055163EEBD99}"/>
            </a:ext>
          </a:extLst>
        </xdr:cNvPr>
        <xdr:cNvPicPr>
          <a:picLocks noChangeAspect="1"/>
        </xdr:cNvPicPr>
      </xdr:nvPicPr>
      <xdr:blipFill rotWithShape="1">
        <a:blip xmlns:r="http://schemas.openxmlformats.org/officeDocument/2006/relationships" r:embed="rId3"/>
        <a:srcRect t="50513" r="40849" b="-304"/>
        <a:stretch/>
      </xdr:blipFill>
      <xdr:spPr>
        <a:xfrm>
          <a:off x="10972800" y="4470400"/>
          <a:ext cx="4597400" cy="876300"/>
        </a:xfrm>
        <a:prstGeom prst="rect">
          <a:avLst/>
        </a:prstGeom>
      </xdr:spPr>
    </xdr:pic>
    <xdr:clientData/>
  </xdr:twoCellAnchor>
  <xdr:twoCellAnchor editAs="oneCell">
    <xdr:from>
      <xdr:col>7</xdr:col>
      <xdr:colOff>800099</xdr:colOff>
      <xdr:row>24</xdr:row>
      <xdr:rowOff>12700</xdr:rowOff>
    </xdr:from>
    <xdr:to>
      <xdr:col>8</xdr:col>
      <xdr:colOff>2006600</xdr:colOff>
      <xdr:row>29</xdr:row>
      <xdr:rowOff>16534</xdr:rowOff>
    </xdr:to>
    <xdr:pic>
      <xdr:nvPicPr>
        <xdr:cNvPr id="6" name="Picture 5">
          <a:extLst>
            <a:ext uri="{FF2B5EF4-FFF2-40B4-BE49-F238E27FC236}">
              <a16:creationId xmlns:a16="http://schemas.microsoft.com/office/drawing/2014/main" id="{F2FC8F10-B1FF-564B-9A88-04C0C242E072}"/>
            </a:ext>
          </a:extLst>
        </xdr:cNvPr>
        <xdr:cNvPicPr>
          <a:picLocks noChangeAspect="1"/>
        </xdr:cNvPicPr>
      </xdr:nvPicPr>
      <xdr:blipFill>
        <a:blip xmlns:r="http://schemas.openxmlformats.org/officeDocument/2006/relationships" r:embed="rId4"/>
        <a:stretch>
          <a:fillRect/>
        </a:stretch>
      </xdr:blipFill>
      <xdr:spPr>
        <a:xfrm>
          <a:off x="11188699" y="5562600"/>
          <a:ext cx="3378201" cy="1019834"/>
        </a:xfrm>
        <a:prstGeom prst="rect">
          <a:avLst/>
        </a:prstGeom>
      </xdr:spPr>
    </xdr:pic>
    <xdr:clientData/>
  </xdr:twoCellAnchor>
  <xdr:twoCellAnchor editAs="oneCell">
    <xdr:from>
      <xdr:col>10</xdr:col>
      <xdr:colOff>241300</xdr:colOff>
      <xdr:row>23</xdr:row>
      <xdr:rowOff>134334</xdr:rowOff>
    </xdr:from>
    <xdr:to>
      <xdr:col>14</xdr:col>
      <xdr:colOff>484257</xdr:colOff>
      <xdr:row>29</xdr:row>
      <xdr:rowOff>63500</xdr:rowOff>
    </xdr:to>
    <xdr:pic>
      <xdr:nvPicPr>
        <xdr:cNvPr id="7" name="Picture 6">
          <a:extLst>
            <a:ext uri="{FF2B5EF4-FFF2-40B4-BE49-F238E27FC236}">
              <a16:creationId xmlns:a16="http://schemas.microsoft.com/office/drawing/2014/main" id="{998DE431-7BEF-634C-9ABA-BB2FEA990019}"/>
            </a:ext>
          </a:extLst>
        </xdr:cNvPr>
        <xdr:cNvPicPr>
          <a:picLocks noChangeAspect="1"/>
        </xdr:cNvPicPr>
      </xdr:nvPicPr>
      <xdr:blipFill>
        <a:blip xmlns:r="http://schemas.openxmlformats.org/officeDocument/2006/relationships" r:embed="rId5"/>
        <a:stretch>
          <a:fillRect/>
        </a:stretch>
      </xdr:blipFill>
      <xdr:spPr>
        <a:xfrm>
          <a:off x="15913100" y="5481034"/>
          <a:ext cx="3544957" cy="1148366"/>
        </a:xfrm>
        <a:prstGeom prst="rect">
          <a:avLst/>
        </a:prstGeom>
      </xdr:spPr>
    </xdr:pic>
    <xdr:clientData/>
  </xdr:twoCellAnchor>
  <xdr:twoCellAnchor editAs="oneCell">
    <xdr:from>
      <xdr:col>7</xdr:col>
      <xdr:colOff>736600</xdr:colOff>
      <xdr:row>31</xdr:row>
      <xdr:rowOff>38100</xdr:rowOff>
    </xdr:from>
    <xdr:to>
      <xdr:col>10</xdr:col>
      <xdr:colOff>520699</xdr:colOff>
      <xdr:row>35</xdr:row>
      <xdr:rowOff>180009</xdr:rowOff>
    </xdr:to>
    <xdr:pic>
      <xdr:nvPicPr>
        <xdr:cNvPr id="8" name="Picture 7">
          <a:extLst>
            <a:ext uri="{FF2B5EF4-FFF2-40B4-BE49-F238E27FC236}">
              <a16:creationId xmlns:a16="http://schemas.microsoft.com/office/drawing/2014/main" id="{8F489F21-14ED-B145-B892-A29779FD4872}"/>
            </a:ext>
          </a:extLst>
        </xdr:cNvPr>
        <xdr:cNvPicPr>
          <a:picLocks noChangeAspect="1"/>
        </xdr:cNvPicPr>
      </xdr:nvPicPr>
      <xdr:blipFill>
        <a:blip xmlns:r="http://schemas.openxmlformats.org/officeDocument/2006/relationships" r:embed="rId6"/>
        <a:stretch>
          <a:fillRect/>
        </a:stretch>
      </xdr:blipFill>
      <xdr:spPr>
        <a:xfrm>
          <a:off x="11125200" y="7010400"/>
          <a:ext cx="5067300" cy="954709"/>
        </a:xfrm>
        <a:prstGeom prst="rect">
          <a:avLst/>
        </a:prstGeom>
      </xdr:spPr>
    </xdr:pic>
    <xdr:clientData/>
  </xdr:twoCellAnchor>
  <xdr:twoCellAnchor editAs="oneCell">
    <xdr:from>
      <xdr:col>10</xdr:col>
      <xdr:colOff>482600</xdr:colOff>
      <xdr:row>31</xdr:row>
      <xdr:rowOff>101600</xdr:rowOff>
    </xdr:from>
    <xdr:to>
      <xdr:col>17</xdr:col>
      <xdr:colOff>508000</xdr:colOff>
      <xdr:row>36</xdr:row>
      <xdr:rowOff>1230</xdr:rowOff>
    </xdr:to>
    <xdr:pic>
      <xdr:nvPicPr>
        <xdr:cNvPr id="9" name="Picture 8">
          <a:extLst>
            <a:ext uri="{FF2B5EF4-FFF2-40B4-BE49-F238E27FC236}">
              <a16:creationId xmlns:a16="http://schemas.microsoft.com/office/drawing/2014/main" id="{1D529542-F62D-CE41-B9AB-738D3D56C03D}"/>
            </a:ext>
          </a:extLst>
        </xdr:cNvPr>
        <xdr:cNvPicPr>
          <a:picLocks noChangeAspect="1"/>
        </xdr:cNvPicPr>
      </xdr:nvPicPr>
      <xdr:blipFill>
        <a:blip xmlns:r="http://schemas.openxmlformats.org/officeDocument/2006/relationships" r:embed="rId7"/>
        <a:stretch>
          <a:fillRect/>
        </a:stretch>
      </xdr:blipFill>
      <xdr:spPr>
        <a:xfrm>
          <a:off x="16154400" y="7073900"/>
          <a:ext cx="5803900" cy="915630"/>
        </a:xfrm>
        <a:prstGeom prst="rect">
          <a:avLst/>
        </a:prstGeom>
      </xdr:spPr>
    </xdr:pic>
    <xdr:clientData/>
  </xdr:twoCellAnchor>
  <xdr:twoCellAnchor editAs="oneCell">
    <xdr:from>
      <xdr:col>9</xdr:col>
      <xdr:colOff>88900</xdr:colOff>
      <xdr:row>6</xdr:row>
      <xdr:rowOff>150806</xdr:rowOff>
    </xdr:from>
    <xdr:to>
      <xdr:col>16</xdr:col>
      <xdr:colOff>711200</xdr:colOff>
      <xdr:row>9</xdr:row>
      <xdr:rowOff>7815</xdr:rowOff>
    </xdr:to>
    <xdr:pic>
      <xdr:nvPicPr>
        <xdr:cNvPr id="10" name="Picture 9">
          <a:extLst>
            <a:ext uri="{FF2B5EF4-FFF2-40B4-BE49-F238E27FC236}">
              <a16:creationId xmlns:a16="http://schemas.microsoft.com/office/drawing/2014/main" id="{0C48001A-8D5A-4B41-9182-85ABB3E0F333}"/>
            </a:ext>
          </a:extLst>
        </xdr:cNvPr>
        <xdr:cNvPicPr>
          <a:picLocks noChangeAspect="1"/>
        </xdr:cNvPicPr>
      </xdr:nvPicPr>
      <xdr:blipFill>
        <a:blip xmlns:r="http://schemas.openxmlformats.org/officeDocument/2006/relationships" r:embed="rId8"/>
        <a:stretch>
          <a:fillRect/>
        </a:stretch>
      </xdr:blipFill>
      <xdr:spPr>
        <a:xfrm>
          <a:off x="14795500" y="1370006"/>
          <a:ext cx="6540500" cy="504709"/>
        </a:xfrm>
        <a:prstGeom prst="rect">
          <a:avLst/>
        </a:prstGeom>
      </xdr:spPr>
    </xdr:pic>
    <xdr:clientData/>
  </xdr:twoCellAnchor>
  <xdr:twoCellAnchor editAs="oneCell">
    <xdr:from>
      <xdr:col>9</xdr:col>
      <xdr:colOff>88900</xdr:colOff>
      <xdr:row>8</xdr:row>
      <xdr:rowOff>190500</xdr:rowOff>
    </xdr:from>
    <xdr:to>
      <xdr:col>14</xdr:col>
      <xdr:colOff>647700</xdr:colOff>
      <xdr:row>13</xdr:row>
      <xdr:rowOff>0</xdr:rowOff>
    </xdr:to>
    <xdr:pic>
      <xdr:nvPicPr>
        <xdr:cNvPr id="11" name="Picture 10">
          <a:extLst>
            <a:ext uri="{FF2B5EF4-FFF2-40B4-BE49-F238E27FC236}">
              <a16:creationId xmlns:a16="http://schemas.microsoft.com/office/drawing/2014/main" id="{FC908741-E64A-9343-9648-090EDEC5D4E8}"/>
            </a:ext>
          </a:extLst>
        </xdr:cNvPr>
        <xdr:cNvPicPr>
          <a:picLocks noChangeAspect="1"/>
        </xdr:cNvPicPr>
      </xdr:nvPicPr>
      <xdr:blipFill>
        <a:blip xmlns:r="http://schemas.openxmlformats.org/officeDocument/2006/relationships" r:embed="rId9"/>
        <a:stretch>
          <a:fillRect/>
        </a:stretch>
      </xdr:blipFill>
      <xdr:spPr>
        <a:xfrm>
          <a:off x="14795500" y="1854200"/>
          <a:ext cx="4826000" cy="825500"/>
        </a:xfrm>
        <a:prstGeom prst="rect">
          <a:avLst/>
        </a:prstGeom>
      </xdr:spPr>
    </xdr:pic>
    <xdr:clientData/>
  </xdr:twoCellAnchor>
  <xdr:twoCellAnchor editAs="oneCell">
    <xdr:from>
      <xdr:col>9</xdr:col>
      <xdr:colOff>127000</xdr:colOff>
      <xdr:row>14</xdr:row>
      <xdr:rowOff>12700</xdr:rowOff>
    </xdr:from>
    <xdr:to>
      <xdr:col>12</xdr:col>
      <xdr:colOff>292101</xdr:colOff>
      <xdr:row>17</xdr:row>
      <xdr:rowOff>59252</xdr:rowOff>
    </xdr:to>
    <xdr:pic>
      <xdr:nvPicPr>
        <xdr:cNvPr id="12" name="Picture 11">
          <a:extLst>
            <a:ext uri="{FF2B5EF4-FFF2-40B4-BE49-F238E27FC236}">
              <a16:creationId xmlns:a16="http://schemas.microsoft.com/office/drawing/2014/main" id="{482572AE-6DB6-DB4A-955F-482F78440E98}"/>
            </a:ext>
          </a:extLst>
        </xdr:cNvPr>
        <xdr:cNvPicPr>
          <a:picLocks noChangeAspect="1"/>
        </xdr:cNvPicPr>
      </xdr:nvPicPr>
      <xdr:blipFill>
        <a:blip xmlns:r="http://schemas.openxmlformats.org/officeDocument/2006/relationships" r:embed="rId10"/>
        <a:stretch>
          <a:fillRect/>
        </a:stretch>
      </xdr:blipFill>
      <xdr:spPr>
        <a:xfrm>
          <a:off x="14833600" y="2895600"/>
          <a:ext cx="2781300" cy="656152"/>
        </a:xfrm>
        <a:prstGeom prst="rect">
          <a:avLst/>
        </a:prstGeom>
      </xdr:spPr>
    </xdr:pic>
    <xdr:clientData/>
  </xdr:twoCellAnchor>
  <xdr:twoCellAnchor editAs="oneCell">
    <xdr:from>
      <xdr:col>12</xdr:col>
      <xdr:colOff>444500</xdr:colOff>
      <xdr:row>14</xdr:row>
      <xdr:rowOff>12700</xdr:rowOff>
    </xdr:from>
    <xdr:to>
      <xdr:col>15</xdr:col>
      <xdr:colOff>553433</xdr:colOff>
      <xdr:row>17</xdr:row>
      <xdr:rowOff>88632</xdr:rowOff>
    </xdr:to>
    <xdr:pic>
      <xdr:nvPicPr>
        <xdr:cNvPr id="13" name="Picture 12">
          <a:extLst>
            <a:ext uri="{FF2B5EF4-FFF2-40B4-BE49-F238E27FC236}">
              <a16:creationId xmlns:a16="http://schemas.microsoft.com/office/drawing/2014/main" id="{934BC051-601B-0741-AC1B-37262C426BC2}"/>
            </a:ext>
          </a:extLst>
        </xdr:cNvPr>
        <xdr:cNvPicPr>
          <a:picLocks noChangeAspect="1"/>
        </xdr:cNvPicPr>
      </xdr:nvPicPr>
      <xdr:blipFill>
        <a:blip xmlns:r="http://schemas.openxmlformats.org/officeDocument/2006/relationships" r:embed="rId11"/>
        <a:stretch>
          <a:fillRect/>
        </a:stretch>
      </xdr:blipFill>
      <xdr:spPr>
        <a:xfrm>
          <a:off x="17767300" y="2895600"/>
          <a:ext cx="2585434" cy="685532"/>
        </a:xfrm>
        <a:prstGeom prst="rect">
          <a:avLst/>
        </a:prstGeom>
      </xdr:spPr>
    </xdr:pic>
    <xdr:clientData/>
  </xdr:twoCellAnchor>
  <xdr:twoCellAnchor editAs="oneCell">
    <xdr:from>
      <xdr:col>7</xdr:col>
      <xdr:colOff>317500</xdr:colOff>
      <xdr:row>37</xdr:row>
      <xdr:rowOff>12700</xdr:rowOff>
    </xdr:from>
    <xdr:to>
      <xdr:col>8</xdr:col>
      <xdr:colOff>1821140</xdr:colOff>
      <xdr:row>40</xdr:row>
      <xdr:rowOff>76200</xdr:rowOff>
    </xdr:to>
    <xdr:pic>
      <xdr:nvPicPr>
        <xdr:cNvPr id="14" name="Picture 13">
          <a:extLst>
            <a:ext uri="{FF2B5EF4-FFF2-40B4-BE49-F238E27FC236}">
              <a16:creationId xmlns:a16="http://schemas.microsoft.com/office/drawing/2014/main" id="{25D526D3-3E83-3946-9723-36C99817F29B}"/>
            </a:ext>
          </a:extLst>
        </xdr:cNvPr>
        <xdr:cNvPicPr>
          <a:picLocks noChangeAspect="1"/>
        </xdr:cNvPicPr>
      </xdr:nvPicPr>
      <xdr:blipFill>
        <a:blip xmlns:r="http://schemas.openxmlformats.org/officeDocument/2006/relationships" r:embed="rId12"/>
        <a:stretch>
          <a:fillRect/>
        </a:stretch>
      </xdr:blipFill>
      <xdr:spPr>
        <a:xfrm>
          <a:off x="10706100" y="8204200"/>
          <a:ext cx="3675340" cy="673100"/>
        </a:xfrm>
        <a:prstGeom prst="rect">
          <a:avLst/>
        </a:prstGeom>
      </xdr:spPr>
    </xdr:pic>
    <xdr:clientData/>
  </xdr:twoCellAnchor>
  <xdr:twoCellAnchor editAs="oneCell">
    <xdr:from>
      <xdr:col>7</xdr:col>
      <xdr:colOff>330200</xdr:colOff>
      <xdr:row>40</xdr:row>
      <xdr:rowOff>114300</xdr:rowOff>
    </xdr:from>
    <xdr:to>
      <xdr:col>8</xdr:col>
      <xdr:colOff>772911</xdr:colOff>
      <xdr:row>44</xdr:row>
      <xdr:rowOff>12700</xdr:rowOff>
    </xdr:to>
    <xdr:pic>
      <xdr:nvPicPr>
        <xdr:cNvPr id="15" name="Picture 14">
          <a:extLst>
            <a:ext uri="{FF2B5EF4-FFF2-40B4-BE49-F238E27FC236}">
              <a16:creationId xmlns:a16="http://schemas.microsoft.com/office/drawing/2014/main" id="{23ECE360-86F7-2347-AAF5-0CD6811F4F2E}"/>
            </a:ext>
          </a:extLst>
        </xdr:cNvPr>
        <xdr:cNvPicPr>
          <a:picLocks noChangeAspect="1"/>
        </xdr:cNvPicPr>
      </xdr:nvPicPr>
      <xdr:blipFill>
        <a:blip xmlns:r="http://schemas.openxmlformats.org/officeDocument/2006/relationships" r:embed="rId13"/>
        <a:stretch>
          <a:fillRect/>
        </a:stretch>
      </xdr:blipFill>
      <xdr:spPr>
        <a:xfrm>
          <a:off x="10718800" y="8915400"/>
          <a:ext cx="2614411" cy="711200"/>
        </a:xfrm>
        <a:prstGeom prst="rect">
          <a:avLst/>
        </a:prstGeom>
      </xdr:spPr>
    </xdr:pic>
    <xdr:clientData/>
  </xdr:twoCellAnchor>
  <xdr:twoCellAnchor>
    <xdr:from>
      <xdr:col>7</xdr:col>
      <xdr:colOff>88900</xdr:colOff>
      <xdr:row>45</xdr:row>
      <xdr:rowOff>165100</xdr:rowOff>
    </xdr:from>
    <xdr:to>
      <xdr:col>9</xdr:col>
      <xdr:colOff>749300</xdr:colOff>
      <xdr:row>49</xdr:row>
      <xdr:rowOff>165100</xdr:rowOff>
    </xdr:to>
    <mc:AlternateContent xmlns:mc="http://schemas.openxmlformats.org/markup-compatibility/2006">
      <mc:Choice xmlns:a14="http://schemas.microsoft.com/office/drawing/2010/main" Requires="a14">
        <xdr:sp macro="" textlink="">
          <xdr:nvSpPr>
            <xdr:cNvPr id="16" name="TextBox 15">
              <a:extLst>
                <a:ext uri="{FF2B5EF4-FFF2-40B4-BE49-F238E27FC236}">
                  <a16:creationId xmlns:a16="http://schemas.microsoft.com/office/drawing/2014/main" id="{40D79688-75DC-B64C-8AB1-C31232EB1C73}"/>
                </a:ext>
              </a:extLst>
            </xdr:cNvPr>
            <xdr:cNvSpPr txBox="1"/>
          </xdr:nvSpPr>
          <xdr:spPr>
            <a:xfrm>
              <a:off x="10477500" y="9982200"/>
              <a:ext cx="4978400" cy="850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𝑂𝑣𝑒𝑟𝑎𝑙𝑙</m:t>
                    </m:r>
                    <m:r>
                      <a:rPr lang="en-US" sz="1100" b="0" i="1">
                        <a:latin typeface="Cambria Math" panose="02040503050406030204" pitchFamily="18" charset="0"/>
                      </a:rPr>
                      <m:t> </m:t>
                    </m:r>
                    <m:r>
                      <a:rPr lang="en-US" sz="1100" b="0" i="1">
                        <a:latin typeface="Cambria Math" panose="02040503050406030204" pitchFamily="18" charset="0"/>
                      </a:rPr>
                      <m:t>𝑅𝑒𝑡𝑢𝑟𝑛</m:t>
                    </m:r>
                    <m:r>
                      <a:rPr lang="en-US" sz="1100" b="0" i="1">
                        <a:latin typeface="Cambria Math" panose="02040503050406030204" pitchFamily="18" charset="0"/>
                      </a:rPr>
                      <m:t>=</m:t>
                    </m:r>
                    <m:sSup>
                      <m:sSupPr>
                        <m:ctrlPr>
                          <a:rPr lang="en-US" sz="1100" i="1">
                            <a:latin typeface="Cambria Math" panose="02040503050406030204" pitchFamily="18" charset="0"/>
                          </a:rPr>
                        </m:ctrlPr>
                      </m:sSupPr>
                      <m:e>
                        <m:d>
                          <m:dPr>
                            <m:ctrlPr>
                              <a:rPr lang="en-US" sz="1100" i="1">
                                <a:latin typeface="Cambria Math" panose="02040503050406030204" pitchFamily="18" charset="0"/>
                              </a:rPr>
                            </m:ctrlPr>
                          </m:dPr>
                          <m:e>
                            <m:f>
                              <m:fPr>
                                <m:ctrlPr>
                                  <a:rPr lang="en-US" sz="1100" i="1">
                                    <a:latin typeface="Cambria Math" panose="02040503050406030204" pitchFamily="18" charset="0"/>
                                  </a:rPr>
                                </m:ctrlPr>
                              </m:fPr>
                              <m:num>
                                <m:r>
                                  <a:rPr lang="en-US" sz="1100" b="0" i="1">
                                    <a:latin typeface="Cambria Math" panose="02040503050406030204" pitchFamily="18" charset="0"/>
                                  </a:rPr>
                                  <m:t>𝑇𝑒𝑟𝑚𝑖𝑛𝑎𝑙</m:t>
                                </m:r>
                                <m:r>
                                  <a:rPr lang="en-US" sz="1100" b="0" i="1">
                                    <a:latin typeface="Cambria Math" panose="02040503050406030204" pitchFamily="18" charset="0"/>
                                  </a:rPr>
                                  <m:t> </m:t>
                                </m:r>
                                <m:r>
                                  <a:rPr lang="en-US" sz="1100" b="0" i="1">
                                    <a:latin typeface="Cambria Math" panose="02040503050406030204" pitchFamily="18" charset="0"/>
                                  </a:rPr>
                                  <m:t>𝐷𝑖𝑠𝑡𝑟𝑖𝑏𝑢𝑡𝑖𝑜𝑛</m:t>
                                </m:r>
                                <m:r>
                                  <a:rPr lang="en-US" sz="1100" b="0" i="1">
                                    <a:latin typeface="Cambria Math" panose="02040503050406030204" pitchFamily="18" charset="0"/>
                                  </a:rPr>
                                  <m:t> </m:t>
                                </m:r>
                                <m:r>
                                  <a:rPr lang="en-US" sz="1100" b="0" i="1">
                                    <a:latin typeface="Cambria Math" panose="02040503050406030204" pitchFamily="18" charset="0"/>
                                  </a:rPr>
                                  <m:t>𝑡𝑜</m:t>
                                </m:r>
                                <m:r>
                                  <a:rPr lang="en-US" sz="1100" b="0" i="1">
                                    <a:latin typeface="Cambria Math" panose="02040503050406030204" pitchFamily="18" charset="0"/>
                                  </a:rPr>
                                  <m:t> </m:t>
                                </m:r>
                                <m:r>
                                  <a:rPr lang="en-US" sz="1100" b="0" i="1">
                                    <a:latin typeface="Cambria Math" panose="02040503050406030204" pitchFamily="18" charset="0"/>
                                  </a:rPr>
                                  <m:t>𝐼𝑛𝑣𝑒𝑠𝑡𝑜𝑟</m:t>
                                </m:r>
                              </m:num>
                              <m:den>
                                <m:r>
                                  <a:rPr lang="en-US" sz="1100" b="0" i="1">
                                    <a:latin typeface="Cambria Math" panose="02040503050406030204" pitchFamily="18" charset="0"/>
                                  </a:rPr>
                                  <m:t>𝐼𝑛𝑣𝑒𝑠𝑡𝑚𝑒𝑛𝑡</m:t>
                                </m:r>
                              </m:den>
                            </m:f>
                          </m:e>
                        </m:d>
                      </m:e>
                      <m:sup>
                        <m:r>
                          <a:rPr lang="en-US" sz="1100" b="0" i="1">
                            <a:latin typeface="Cambria Math" panose="02040503050406030204" pitchFamily="18" charset="0"/>
                          </a:rPr>
                          <m:t>1/</m:t>
                        </m:r>
                        <m:r>
                          <a:rPr lang="en-US" sz="1100" b="0" i="1">
                            <a:latin typeface="Cambria Math" panose="02040503050406030204" pitchFamily="18" charset="0"/>
                          </a:rPr>
                          <m:t>𝑁</m:t>
                        </m:r>
                      </m:sup>
                    </m:sSup>
                    <m:r>
                      <a:rPr lang="en-US" sz="1100" b="0" i="1">
                        <a:latin typeface="Cambria Math" panose="02040503050406030204" pitchFamily="18" charset="0"/>
                      </a:rPr>
                      <m:t>−1</m:t>
                    </m:r>
                  </m:oMath>
                </m:oMathPara>
              </a14:m>
              <a:endParaRPr lang="en-US" sz="1100"/>
            </a:p>
            <a:p>
              <a:endParaRPr lang="en-US" sz="1100"/>
            </a:p>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𝑇𝑒𝑟𝑚𝑖𝑛𝑎𝑙</m:t>
                    </m:r>
                    <m:r>
                      <a:rPr lang="en-US" sz="1100" b="0" i="1">
                        <a:latin typeface="Cambria Math" panose="02040503050406030204" pitchFamily="18" charset="0"/>
                      </a:rPr>
                      <m:t> </m:t>
                    </m:r>
                    <m:r>
                      <a:rPr lang="en-US" sz="1100" b="0" i="1">
                        <a:latin typeface="Cambria Math" panose="02040503050406030204" pitchFamily="18" charset="0"/>
                      </a:rPr>
                      <m:t>𝐷𝑖𝑠𝑡𝑟𝑖𝑏𝑢𝑡𝑖𝑜𝑛</m:t>
                    </m:r>
                    <m:r>
                      <a:rPr lang="en-US" sz="1100" b="0" i="1">
                        <a:latin typeface="Cambria Math" panose="02040503050406030204" pitchFamily="18" charset="0"/>
                      </a:rPr>
                      <m:t> </m:t>
                    </m:r>
                    <m:r>
                      <a:rPr lang="en-US" sz="1100" b="0" i="1">
                        <a:latin typeface="Cambria Math" panose="02040503050406030204" pitchFamily="18" charset="0"/>
                      </a:rPr>
                      <m:t>𝑡𝑜</m:t>
                    </m:r>
                    <m:r>
                      <a:rPr lang="en-US" sz="1100" b="0" i="1">
                        <a:latin typeface="Cambria Math" panose="02040503050406030204" pitchFamily="18" charset="0"/>
                      </a:rPr>
                      <m:t> </m:t>
                    </m:r>
                    <m:r>
                      <a:rPr lang="en-US" sz="1100" b="0" i="1">
                        <a:latin typeface="Cambria Math" panose="02040503050406030204" pitchFamily="18" charset="0"/>
                      </a:rPr>
                      <m:t>𝐼𝑛𝑣𝑒𝑠𝑡𝑜𝑟</m:t>
                    </m:r>
                    <m:r>
                      <a:rPr lang="en-US" sz="1100" b="0" i="0">
                        <a:latin typeface="Cambria Math" panose="02040503050406030204" pitchFamily="18" charset="0"/>
                      </a:rPr>
                      <m:t>=</m:t>
                    </m:r>
                    <m:r>
                      <m:rPr>
                        <m:sty m:val="p"/>
                      </m:rPr>
                      <a:rPr lang="en-US" sz="1100" b="0" i="0">
                        <a:latin typeface="Cambria Math" panose="02040503050406030204" pitchFamily="18" charset="0"/>
                      </a:rPr>
                      <m:t>Terminal</m:t>
                    </m:r>
                    <m:r>
                      <a:rPr lang="en-US" sz="1100" b="0" i="0">
                        <a:latin typeface="Cambria Math" panose="02040503050406030204" pitchFamily="18" charset="0"/>
                      </a:rPr>
                      <m:t> </m:t>
                    </m:r>
                    <m:r>
                      <m:rPr>
                        <m:sty m:val="p"/>
                      </m:rPr>
                      <a:rPr lang="en-US" sz="1100" b="0" i="0">
                        <a:latin typeface="Cambria Math" panose="02040503050406030204" pitchFamily="18" charset="0"/>
                      </a:rPr>
                      <m:t>Price</m:t>
                    </m:r>
                    <m:r>
                      <a:rPr lang="en-US" sz="1100" b="0" i="0">
                        <a:latin typeface="Cambria Math" panose="02040503050406030204" pitchFamily="18" charset="0"/>
                      </a:rPr>
                      <m:t> </m:t>
                    </m:r>
                    <m:r>
                      <m:rPr>
                        <m:sty m:val="p"/>
                      </m:rPr>
                      <a:rPr lang="en-US" sz="1100" b="0" i="0">
                        <a:latin typeface="Cambria Math" panose="02040503050406030204" pitchFamily="18" charset="0"/>
                      </a:rPr>
                      <m:t>per</m:t>
                    </m:r>
                    <m:r>
                      <a:rPr lang="en-US" sz="1100" b="0" i="0">
                        <a:latin typeface="Cambria Math" panose="02040503050406030204" pitchFamily="18" charset="0"/>
                      </a:rPr>
                      <m:t> </m:t>
                    </m:r>
                    <m:r>
                      <m:rPr>
                        <m:sty m:val="p"/>
                      </m:rPr>
                      <a:rPr lang="en-US" sz="1100" b="0" i="0">
                        <a:latin typeface="Cambria Math" panose="02040503050406030204" pitchFamily="18" charset="0"/>
                      </a:rPr>
                      <m:t>Share</m:t>
                    </m:r>
                    <m:r>
                      <a:rPr lang="en-US" sz="1100" b="0" i="1">
                        <a:latin typeface="Cambria Math" panose="02040503050406030204" pitchFamily="18" charset="0"/>
                      </a:rPr>
                      <m:t> </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𝑆h𝑎𝑟𝑒𝑠</m:t>
                    </m:r>
                  </m:oMath>
                </m:oMathPara>
              </a14:m>
              <a:endParaRPr lang="en-US" sz="1100"/>
            </a:p>
          </xdr:txBody>
        </xdr:sp>
      </mc:Choice>
      <mc:Fallback>
        <xdr:sp macro="" textlink="">
          <xdr:nvSpPr>
            <xdr:cNvPr id="16" name="TextBox 15">
              <a:extLst>
                <a:ext uri="{FF2B5EF4-FFF2-40B4-BE49-F238E27FC236}">
                  <a16:creationId xmlns:a16="http://schemas.microsoft.com/office/drawing/2014/main" id="{40D79688-75DC-B64C-8AB1-C31232EB1C73}"/>
                </a:ext>
              </a:extLst>
            </xdr:cNvPr>
            <xdr:cNvSpPr txBox="1"/>
          </xdr:nvSpPr>
          <xdr:spPr>
            <a:xfrm>
              <a:off x="10477500" y="9982200"/>
              <a:ext cx="4978400" cy="850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b="0" i="0">
                  <a:latin typeface="Cambria Math" panose="02040503050406030204" pitchFamily="18" charset="0"/>
                </a:rPr>
                <a:t>𝑂𝑣𝑒𝑟𝑎𝑙𝑙 𝑅𝑒𝑡𝑢𝑟𝑛=</a:t>
              </a:r>
              <a:r>
                <a:rPr lang="en-US" sz="1100" i="0">
                  <a:latin typeface="Cambria Math" panose="02040503050406030204" pitchFamily="18" charset="0"/>
                </a:rPr>
                <a:t>((</a:t>
              </a:r>
              <a:r>
                <a:rPr lang="en-US" sz="1100" b="0" i="0">
                  <a:latin typeface="Cambria Math" panose="02040503050406030204" pitchFamily="18" charset="0"/>
                </a:rPr>
                <a:t>𝑇𝑒𝑟𝑚𝑖𝑛𝑎𝑙 𝐷𝑖𝑠𝑡𝑟𝑖𝑏𝑢𝑡𝑖𝑜𝑛 𝑡𝑜 𝐼𝑛𝑣𝑒𝑠𝑡𝑜𝑟)/𝐼𝑛𝑣𝑒𝑠𝑡𝑚𝑒𝑛𝑡)^(1/𝑁)−1</a:t>
              </a:r>
              <a:endParaRPr lang="en-US" sz="1100"/>
            </a:p>
            <a:p>
              <a:endParaRPr lang="en-US" sz="1100"/>
            </a:p>
            <a:p>
              <a:pPr/>
              <a:r>
                <a:rPr lang="en-US" sz="1100" b="0" i="0">
                  <a:latin typeface="Cambria Math" panose="02040503050406030204" pitchFamily="18" charset="0"/>
                </a:rPr>
                <a:t>𝑇𝑒𝑟𝑚𝑖𝑛𝑎𝑙 𝐷𝑖𝑠𝑡𝑟𝑖𝑏𝑢𝑡𝑖𝑜𝑛 𝑡𝑜 𝐼𝑛𝑣𝑒𝑠𝑡𝑜𝑟=Terminal Price per Share </a:t>
              </a:r>
              <a:r>
                <a:rPr lang="en-US" sz="1100" b="0" i="0">
                  <a:latin typeface="Cambria Math" panose="02040503050406030204" pitchFamily="18" charset="0"/>
                  <a:ea typeface="Cambria Math" panose="02040503050406030204" pitchFamily="18" charset="0"/>
                </a:rPr>
                <a:t>× #𝑆ℎ𝑎𝑟𝑒𝑠</a:t>
              </a:r>
              <a:endParaRPr lang="en-US" sz="1100"/>
            </a:p>
          </xdr:txBody>
        </xdr:sp>
      </mc:Fallback>
    </mc:AlternateContent>
    <xdr:clientData/>
  </xdr:twoCellAnchor>
  <xdr:twoCellAnchor>
    <xdr:from>
      <xdr:col>0</xdr:col>
      <xdr:colOff>0</xdr:colOff>
      <xdr:row>0</xdr:row>
      <xdr:rowOff>143565</xdr:rowOff>
    </xdr:from>
    <xdr:to>
      <xdr:col>9</xdr:col>
      <xdr:colOff>580887</xdr:colOff>
      <xdr:row>5</xdr:row>
      <xdr:rowOff>38652</xdr:rowOff>
    </xdr:to>
    <xdr:sp macro="" textlink="">
      <xdr:nvSpPr>
        <xdr:cNvPr id="17" name="TextBox 16">
          <a:extLst>
            <a:ext uri="{FF2B5EF4-FFF2-40B4-BE49-F238E27FC236}">
              <a16:creationId xmlns:a16="http://schemas.microsoft.com/office/drawing/2014/main" id="{79D70A69-FABE-5A4B-8395-5170628E30F1}"/>
            </a:ext>
          </a:extLst>
        </xdr:cNvPr>
        <xdr:cNvSpPr txBox="1"/>
      </xdr:nvSpPr>
      <xdr:spPr>
        <a:xfrm>
          <a:off x="0" y="143565"/>
          <a:ext cx="16814800" cy="889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dk1"/>
              </a:solidFill>
              <a:effectLst/>
              <a:latin typeface="Times New Roman" panose="02020603050405020304" pitchFamily="18" charset="0"/>
              <a:ea typeface="+mn-ea"/>
              <a:cs typeface="Times New Roman" panose="02020603050405020304" pitchFamily="18" charset="0"/>
            </a:rPr>
            <a:t>Question #5.</a:t>
          </a:r>
          <a:r>
            <a:rPr lang="en-US" sz="1400" b="0" baseline="0">
              <a:solidFill>
                <a:schemeClr val="dk1"/>
              </a:solidFill>
              <a:effectLst/>
              <a:latin typeface="Times New Roman" panose="02020603050405020304" pitchFamily="18" charset="0"/>
              <a:ea typeface="+mn-ea"/>
              <a:cs typeface="Times New Roman" panose="02020603050405020304" pitchFamily="18" charset="0"/>
            </a:rPr>
            <a:t> </a:t>
          </a:r>
          <a:r>
            <a:rPr lang="en-US" sz="1400">
              <a:solidFill>
                <a:schemeClr val="dk1"/>
              </a:solidFill>
              <a:effectLst/>
              <a:latin typeface="Times New Roman" panose="02020603050405020304" pitchFamily="18" charset="0"/>
              <a:ea typeface="+mn-ea"/>
              <a:cs typeface="Times New Roman" panose="02020603050405020304" pitchFamily="18" charset="0"/>
            </a:rPr>
            <a:t>Immediately </a:t>
          </a:r>
          <a:r>
            <a:rPr lang="en-US" sz="1400" u="sng">
              <a:solidFill>
                <a:srgbClr val="FF0000"/>
              </a:solidFill>
              <a:effectLst/>
              <a:latin typeface="Times New Roman" panose="02020603050405020304" pitchFamily="18" charset="0"/>
              <a:ea typeface="+mn-ea"/>
              <a:cs typeface="Times New Roman" panose="02020603050405020304" pitchFamily="18" charset="0"/>
            </a:rPr>
            <a:t>before</a:t>
          </a:r>
          <a:r>
            <a:rPr lang="en-US" sz="1400">
              <a:solidFill>
                <a:srgbClr val="FF0000"/>
              </a:solidFill>
              <a:effectLst/>
              <a:latin typeface="Times New Roman" panose="02020603050405020304" pitchFamily="18" charset="0"/>
              <a:ea typeface="+mn-ea"/>
              <a:cs typeface="Times New Roman" panose="02020603050405020304" pitchFamily="18" charset="0"/>
            </a:rPr>
            <a:t> the Series B round</a:t>
          </a:r>
          <a:r>
            <a:rPr lang="en-US" sz="1400">
              <a:solidFill>
                <a:schemeClr val="dk1"/>
              </a:solidFill>
              <a:effectLst/>
              <a:latin typeface="Times New Roman" panose="02020603050405020304" pitchFamily="18" charset="0"/>
              <a:ea typeface="+mn-ea"/>
              <a:cs typeface="Times New Roman" panose="02020603050405020304" pitchFamily="18" charset="0"/>
            </a:rPr>
            <a:t>, it becomes apparent that the liquidity event will be delayed two years until March 2032 </a:t>
          </a:r>
          <a:r>
            <a:rPr lang="en-US" sz="1400" u="sng">
              <a:solidFill>
                <a:schemeClr val="dk1"/>
              </a:solidFill>
              <a:effectLst/>
              <a:latin typeface="Times New Roman" panose="02020603050405020304" pitchFamily="18" charset="0"/>
              <a:ea typeface="+mn-ea"/>
              <a:cs typeface="Times New Roman" panose="02020603050405020304" pitchFamily="18" charset="0"/>
            </a:rPr>
            <a:t>and</a:t>
          </a:r>
          <a:r>
            <a:rPr lang="en-US" sz="1400">
              <a:solidFill>
                <a:schemeClr val="dk1"/>
              </a:solidFill>
              <a:effectLst/>
              <a:latin typeface="Times New Roman" panose="02020603050405020304" pitchFamily="18" charset="0"/>
              <a:ea typeface="+mn-ea"/>
              <a:cs typeface="Times New Roman" panose="02020603050405020304" pitchFamily="18" charset="0"/>
            </a:rPr>
            <a:t> that an additional $2,000,000 (i.e., a total of $10,500,000) will be needed in the scheduled Series C round.  Although the liquidity event will be delayed two years, the Series B and Series C rounds of investments remain scheduled for March 2027 and March 2028, respectively.  Despite the delay, the estimated terminal value of XL remains unchanged.  At the time this delay becomes apparent, TVC’s Series A investment is already a done-deal and cannot be renegotiated.  The future stock option pool, as described above, </a:t>
          </a:r>
          <a:r>
            <a:rPr lang="en-US" sz="1400" u="sng">
              <a:solidFill>
                <a:schemeClr val="dk1"/>
              </a:solidFill>
              <a:effectLst/>
              <a:latin typeface="Times New Roman" panose="02020603050405020304" pitchFamily="18" charset="0"/>
              <a:ea typeface="+mn-ea"/>
              <a:cs typeface="Times New Roman" panose="02020603050405020304" pitchFamily="18" charset="0"/>
            </a:rPr>
            <a:t>is</a:t>
          </a:r>
          <a:r>
            <a:rPr lang="en-US" sz="1400">
              <a:solidFill>
                <a:schemeClr val="dk1"/>
              </a:solidFill>
              <a:effectLst/>
              <a:latin typeface="Times New Roman" panose="02020603050405020304" pitchFamily="18" charset="0"/>
              <a:ea typeface="+mn-ea"/>
              <a:cs typeface="Times New Roman" panose="02020603050405020304" pitchFamily="18" charset="0"/>
            </a:rPr>
            <a:t> included in XL’s plans.  How does this change your answers to question #4?  Given this delay scenario, what compound annual rates of return are realized on the Series A, B and C investments?</a:t>
          </a:r>
          <a:endParaRPr lang="en-CN" sz="14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0</xdr:row>
      <xdr:rowOff>190500</xdr:rowOff>
    </xdr:from>
    <xdr:to>
      <xdr:col>10</xdr:col>
      <xdr:colOff>330200</xdr:colOff>
      <xdr:row>5</xdr:row>
      <xdr:rowOff>63500</xdr:rowOff>
    </xdr:to>
    <xdr:sp macro="" textlink="">
      <xdr:nvSpPr>
        <xdr:cNvPr id="2" name="TextBox 1">
          <a:extLst>
            <a:ext uri="{FF2B5EF4-FFF2-40B4-BE49-F238E27FC236}">
              <a16:creationId xmlns:a16="http://schemas.microsoft.com/office/drawing/2014/main" id="{25FE46D5-299B-6B43-B663-92CC3F786462}"/>
            </a:ext>
          </a:extLst>
        </xdr:cNvPr>
        <xdr:cNvSpPr txBox="1"/>
      </xdr:nvSpPr>
      <xdr:spPr>
        <a:xfrm>
          <a:off x="12700" y="190500"/>
          <a:ext cx="16814800" cy="889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dk1"/>
              </a:solidFill>
              <a:effectLst/>
              <a:latin typeface="Times New Roman" panose="02020603050405020304" pitchFamily="18" charset="0"/>
              <a:ea typeface="+mn-ea"/>
              <a:cs typeface="Times New Roman" panose="02020603050405020304" pitchFamily="18" charset="0"/>
            </a:rPr>
            <a:t>Question #5.</a:t>
          </a:r>
          <a:r>
            <a:rPr lang="en-US" sz="1400" b="0" baseline="0">
              <a:solidFill>
                <a:schemeClr val="dk1"/>
              </a:solidFill>
              <a:effectLst/>
              <a:latin typeface="Times New Roman" panose="02020603050405020304" pitchFamily="18" charset="0"/>
              <a:ea typeface="+mn-ea"/>
              <a:cs typeface="Times New Roman" panose="02020603050405020304" pitchFamily="18" charset="0"/>
            </a:rPr>
            <a:t> </a:t>
          </a:r>
          <a:r>
            <a:rPr lang="en-US" sz="1400">
              <a:solidFill>
                <a:schemeClr val="dk1"/>
              </a:solidFill>
              <a:effectLst/>
              <a:latin typeface="Times New Roman" panose="02020603050405020304" pitchFamily="18" charset="0"/>
              <a:ea typeface="+mn-ea"/>
              <a:cs typeface="Times New Roman" panose="02020603050405020304" pitchFamily="18" charset="0"/>
            </a:rPr>
            <a:t>Immediately </a:t>
          </a:r>
          <a:r>
            <a:rPr lang="en-US" sz="1400" u="sng">
              <a:solidFill>
                <a:srgbClr val="FF0000"/>
              </a:solidFill>
              <a:effectLst/>
              <a:latin typeface="Times New Roman" panose="02020603050405020304" pitchFamily="18" charset="0"/>
              <a:ea typeface="+mn-ea"/>
              <a:cs typeface="Times New Roman" panose="02020603050405020304" pitchFamily="18" charset="0"/>
            </a:rPr>
            <a:t>before</a:t>
          </a:r>
          <a:r>
            <a:rPr lang="en-US" sz="1400">
              <a:solidFill>
                <a:srgbClr val="FF0000"/>
              </a:solidFill>
              <a:effectLst/>
              <a:latin typeface="Times New Roman" panose="02020603050405020304" pitchFamily="18" charset="0"/>
              <a:ea typeface="+mn-ea"/>
              <a:cs typeface="Times New Roman" panose="02020603050405020304" pitchFamily="18" charset="0"/>
            </a:rPr>
            <a:t> the Series B round</a:t>
          </a:r>
          <a:r>
            <a:rPr lang="en-US" sz="1400">
              <a:solidFill>
                <a:schemeClr val="dk1"/>
              </a:solidFill>
              <a:effectLst/>
              <a:latin typeface="Times New Roman" panose="02020603050405020304" pitchFamily="18" charset="0"/>
              <a:ea typeface="+mn-ea"/>
              <a:cs typeface="Times New Roman" panose="02020603050405020304" pitchFamily="18" charset="0"/>
            </a:rPr>
            <a:t>, it becomes apparent that the liquidity event will be delayed two years until March 2032 </a:t>
          </a:r>
          <a:r>
            <a:rPr lang="en-US" sz="1400" u="sng">
              <a:solidFill>
                <a:schemeClr val="dk1"/>
              </a:solidFill>
              <a:effectLst/>
              <a:latin typeface="Times New Roman" panose="02020603050405020304" pitchFamily="18" charset="0"/>
              <a:ea typeface="+mn-ea"/>
              <a:cs typeface="Times New Roman" panose="02020603050405020304" pitchFamily="18" charset="0"/>
            </a:rPr>
            <a:t>and</a:t>
          </a:r>
          <a:r>
            <a:rPr lang="en-US" sz="1400">
              <a:solidFill>
                <a:schemeClr val="dk1"/>
              </a:solidFill>
              <a:effectLst/>
              <a:latin typeface="Times New Roman" panose="02020603050405020304" pitchFamily="18" charset="0"/>
              <a:ea typeface="+mn-ea"/>
              <a:cs typeface="Times New Roman" panose="02020603050405020304" pitchFamily="18" charset="0"/>
            </a:rPr>
            <a:t> that an additional $2,000,000 (i.e., a total of $10,500,000) will be needed in the scheduled Series C round.  Although the liquidity event will be delayed two years, the Series B and Series C rounds of investments remain scheduled for March 2027 and March 2028, respectively.  Despite the delay, the estimated terminal value of XL remains unchanged.  At the time this delay becomes apparent, TVC’s Series A investment is already a done-deal and cannot be renegotiated.  The future stock option pool, as described above, </a:t>
          </a:r>
          <a:r>
            <a:rPr lang="en-US" sz="1400" u="sng">
              <a:solidFill>
                <a:schemeClr val="dk1"/>
              </a:solidFill>
              <a:effectLst/>
              <a:latin typeface="Times New Roman" panose="02020603050405020304" pitchFamily="18" charset="0"/>
              <a:ea typeface="+mn-ea"/>
              <a:cs typeface="Times New Roman" panose="02020603050405020304" pitchFamily="18" charset="0"/>
            </a:rPr>
            <a:t>is</a:t>
          </a:r>
          <a:r>
            <a:rPr lang="en-US" sz="1400">
              <a:solidFill>
                <a:schemeClr val="dk1"/>
              </a:solidFill>
              <a:effectLst/>
              <a:latin typeface="Times New Roman" panose="02020603050405020304" pitchFamily="18" charset="0"/>
              <a:ea typeface="+mn-ea"/>
              <a:cs typeface="Times New Roman" panose="02020603050405020304" pitchFamily="18" charset="0"/>
            </a:rPr>
            <a:t> included in XL’s plans.  How does this change your answers to question #4?  Given this delay scenario, what compound annual rates of return are realized on the Series A, B and C investments?</a:t>
          </a:r>
          <a:endParaRPr lang="en-CN" sz="14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editAs="oneCell">
    <xdr:from>
      <xdr:col>2</xdr:col>
      <xdr:colOff>152400</xdr:colOff>
      <xdr:row>12</xdr:row>
      <xdr:rowOff>127000</xdr:rowOff>
    </xdr:from>
    <xdr:to>
      <xdr:col>4</xdr:col>
      <xdr:colOff>1360741</xdr:colOff>
      <xdr:row>17</xdr:row>
      <xdr:rowOff>76200</xdr:rowOff>
    </xdr:to>
    <xdr:pic>
      <xdr:nvPicPr>
        <xdr:cNvPr id="3" name="Picture 2">
          <a:extLst>
            <a:ext uri="{FF2B5EF4-FFF2-40B4-BE49-F238E27FC236}">
              <a16:creationId xmlns:a16="http://schemas.microsoft.com/office/drawing/2014/main" id="{53FA0017-B371-6A42-8BF7-7A2FEFE5BAAC}"/>
            </a:ext>
          </a:extLst>
        </xdr:cNvPr>
        <xdr:cNvPicPr>
          <a:picLocks noChangeAspect="1"/>
        </xdr:cNvPicPr>
      </xdr:nvPicPr>
      <xdr:blipFill>
        <a:blip xmlns:r="http://schemas.openxmlformats.org/officeDocument/2006/relationships" r:embed="rId1"/>
        <a:stretch>
          <a:fillRect/>
        </a:stretch>
      </xdr:blipFill>
      <xdr:spPr>
        <a:xfrm>
          <a:off x="4356100" y="2603500"/>
          <a:ext cx="4294441" cy="965200"/>
        </a:xfrm>
        <a:prstGeom prst="rect">
          <a:avLst/>
        </a:prstGeom>
      </xdr:spPr>
    </xdr:pic>
    <xdr:clientData/>
  </xdr:twoCellAnchor>
  <xdr:twoCellAnchor editAs="oneCell">
    <xdr:from>
      <xdr:col>6</xdr:col>
      <xdr:colOff>596900</xdr:colOff>
      <xdr:row>19</xdr:row>
      <xdr:rowOff>114300</xdr:rowOff>
    </xdr:from>
    <xdr:to>
      <xdr:col>7</xdr:col>
      <xdr:colOff>660400</xdr:colOff>
      <xdr:row>20</xdr:row>
      <xdr:rowOff>289633</xdr:rowOff>
    </xdr:to>
    <xdr:pic>
      <xdr:nvPicPr>
        <xdr:cNvPr id="4" name="Picture 3">
          <a:extLst>
            <a:ext uri="{FF2B5EF4-FFF2-40B4-BE49-F238E27FC236}">
              <a16:creationId xmlns:a16="http://schemas.microsoft.com/office/drawing/2014/main" id="{66CD7EA8-C13C-114F-ADA0-00D8AF35CB79}"/>
            </a:ext>
          </a:extLst>
        </xdr:cNvPr>
        <xdr:cNvPicPr>
          <a:picLocks noChangeAspect="1"/>
        </xdr:cNvPicPr>
      </xdr:nvPicPr>
      <xdr:blipFill rotWithShape="1">
        <a:blip xmlns:r="http://schemas.openxmlformats.org/officeDocument/2006/relationships" r:embed="rId2"/>
        <a:srcRect t="59616" r="71242"/>
        <a:stretch/>
      </xdr:blipFill>
      <xdr:spPr>
        <a:xfrm>
          <a:off x="10985500" y="4102100"/>
          <a:ext cx="2235200" cy="378533"/>
        </a:xfrm>
        <a:prstGeom prst="rect">
          <a:avLst/>
        </a:prstGeom>
      </xdr:spPr>
    </xdr:pic>
    <xdr:clientData/>
  </xdr:twoCellAnchor>
  <xdr:twoCellAnchor editAs="oneCell">
    <xdr:from>
      <xdr:col>6</xdr:col>
      <xdr:colOff>584200</xdr:colOff>
      <xdr:row>20</xdr:row>
      <xdr:rowOff>279400</xdr:rowOff>
    </xdr:from>
    <xdr:to>
      <xdr:col>8</xdr:col>
      <xdr:colOff>863600</xdr:colOff>
      <xdr:row>23</xdr:row>
      <xdr:rowOff>0</xdr:rowOff>
    </xdr:to>
    <xdr:pic>
      <xdr:nvPicPr>
        <xdr:cNvPr id="5" name="Picture 4">
          <a:extLst>
            <a:ext uri="{FF2B5EF4-FFF2-40B4-BE49-F238E27FC236}">
              <a16:creationId xmlns:a16="http://schemas.microsoft.com/office/drawing/2014/main" id="{D90E515A-9930-DB48-9856-DDE7FBA1DF22}"/>
            </a:ext>
          </a:extLst>
        </xdr:cNvPr>
        <xdr:cNvPicPr>
          <a:picLocks noChangeAspect="1"/>
        </xdr:cNvPicPr>
      </xdr:nvPicPr>
      <xdr:blipFill rotWithShape="1">
        <a:blip xmlns:r="http://schemas.openxmlformats.org/officeDocument/2006/relationships" r:embed="rId3"/>
        <a:srcRect t="50513" r="40849" b="-304"/>
        <a:stretch/>
      </xdr:blipFill>
      <xdr:spPr>
        <a:xfrm>
          <a:off x="10972800" y="4470400"/>
          <a:ext cx="4597400" cy="876300"/>
        </a:xfrm>
        <a:prstGeom prst="rect">
          <a:avLst/>
        </a:prstGeom>
      </xdr:spPr>
    </xdr:pic>
    <xdr:clientData/>
  </xdr:twoCellAnchor>
  <xdr:twoCellAnchor editAs="oneCell">
    <xdr:from>
      <xdr:col>6</xdr:col>
      <xdr:colOff>800099</xdr:colOff>
      <xdr:row>24</xdr:row>
      <xdr:rowOff>12700</xdr:rowOff>
    </xdr:from>
    <xdr:to>
      <xdr:col>7</xdr:col>
      <xdr:colOff>2006600</xdr:colOff>
      <xdr:row>29</xdr:row>
      <xdr:rowOff>16534</xdr:rowOff>
    </xdr:to>
    <xdr:pic>
      <xdr:nvPicPr>
        <xdr:cNvPr id="6" name="Picture 5">
          <a:extLst>
            <a:ext uri="{FF2B5EF4-FFF2-40B4-BE49-F238E27FC236}">
              <a16:creationId xmlns:a16="http://schemas.microsoft.com/office/drawing/2014/main" id="{42C33EF2-A763-7D43-9EB6-E99CD4AE9A37}"/>
            </a:ext>
          </a:extLst>
        </xdr:cNvPr>
        <xdr:cNvPicPr>
          <a:picLocks noChangeAspect="1"/>
        </xdr:cNvPicPr>
      </xdr:nvPicPr>
      <xdr:blipFill>
        <a:blip xmlns:r="http://schemas.openxmlformats.org/officeDocument/2006/relationships" r:embed="rId4"/>
        <a:stretch>
          <a:fillRect/>
        </a:stretch>
      </xdr:blipFill>
      <xdr:spPr>
        <a:xfrm>
          <a:off x="11188699" y="5562600"/>
          <a:ext cx="3378201" cy="1019834"/>
        </a:xfrm>
        <a:prstGeom prst="rect">
          <a:avLst/>
        </a:prstGeom>
      </xdr:spPr>
    </xdr:pic>
    <xdr:clientData/>
  </xdr:twoCellAnchor>
  <xdr:twoCellAnchor editAs="oneCell">
    <xdr:from>
      <xdr:col>9</xdr:col>
      <xdr:colOff>241300</xdr:colOff>
      <xdr:row>23</xdr:row>
      <xdr:rowOff>134334</xdr:rowOff>
    </xdr:from>
    <xdr:to>
      <xdr:col>13</xdr:col>
      <xdr:colOff>484257</xdr:colOff>
      <xdr:row>29</xdr:row>
      <xdr:rowOff>63500</xdr:rowOff>
    </xdr:to>
    <xdr:pic>
      <xdr:nvPicPr>
        <xdr:cNvPr id="7" name="Picture 6">
          <a:extLst>
            <a:ext uri="{FF2B5EF4-FFF2-40B4-BE49-F238E27FC236}">
              <a16:creationId xmlns:a16="http://schemas.microsoft.com/office/drawing/2014/main" id="{A8CD01AF-91C5-9D48-A7DB-83325E9173F0}"/>
            </a:ext>
          </a:extLst>
        </xdr:cNvPr>
        <xdr:cNvPicPr>
          <a:picLocks noChangeAspect="1"/>
        </xdr:cNvPicPr>
      </xdr:nvPicPr>
      <xdr:blipFill>
        <a:blip xmlns:r="http://schemas.openxmlformats.org/officeDocument/2006/relationships" r:embed="rId5"/>
        <a:stretch>
          <a:fillRect/>
        </a:stretch>
      </xdr:blipFill>
      <xdr:spPr>
        <a:xfrm>
          <a:off x="15913100" y="5481034"/>
          <a:ext cx="3544957" cy="1148366"/>
        </a:xfrm>
        <a:prstGeom prst="rect">
          <a:avLst/>
        </a:prstGeom>
      </xdr:spPr>
    </xdr:pic>
    <xdr:clientData/>
  </xdr:twoCellAnchor>
  <xdr:twoCellAnchor editAs="oneCell">
    <xdr:from>
      <xdr:col>6</xdr:col>
      <xdr:colOff>736600</xdr:colOff>
      <xdr:row>32</xdr:row>
      <xdr:rowOff>38100</xdr:rowOff>
    </xdr:from>
    <xdr:to>
      <xdr:col>9</xdr:col>
      <xdr:colOff>520700</xdr:colOff>
      <xdr:row>36</xdr:row>
      <xdr:rowOff>180009</xdr:rowOff>
    </xdr:to>
    <xdr:pic>
      <xdr:nvPicPr>
        <xdr:cNvPr id="8" name="Picture 7">
          <a:extLst>
            <a:ext uri="{FF2B5EF4-FFF2-40B4-BE49-F238E27FC236}">
              <a16:creationId xmlns:a16="http://schemas.microsoft.com/office/drawing/2014/main" id="{2CEA4533-AA56-3242-A179-1285A5A5DEB9}"/>
            </a:ext>
          </a:extLst>
        </xdr:cNvPr>
        <xdr:cNvPicPr>
          <a:picLocks noChangeAspect="1"/>
        </xdr:cNvPicPr>
      </xdr:nvPicPr>
      <xdr:blipFill>
        <a:blip xmlns:r="http://schemas.openxmlformats.org/officeDocument/2006/relationships" r:embed="rId6"/>
        <a:stretch>
          <a:fillRect/>
        </a:stretch>
      </xdr:blipFill>
      <xdr:spPr>
        <a:xfrm>
          <a:off x="11125200" y="7010400"/>
          <a:ext cx="5067300" cy="954709"/>
        </a:xfrm>
        <a:prstGeom prst="rect">
          <a:avLst/>
        </a:prstGeom>
      </xdr:spPr>
    </xdr:pic>
    <xdr:clientData/>
  </xdr:twoCellAnchor>
  <xdr:twoCellAnchor editAs="oneCell">
    <xdr:from>
      <xdr:col>9</xdr:col>
      <xdr:colOff>482600</xdr:colOff>
      <xdr:row>32</xdr:row>
      <xdr:rowOff>101600</xdr:rowOff>
    </xdr:from>
    <xdr:to>
      <xdr:col>16</xdr:col>
      <xdr:colOff>508000</xdr:colOff>
      <xdr:row>37</xdr:row>
      <xdr:rowOff>2886</xdr:rowOff>
    </xdr:to>
    <xdr:pic>
      <xdr:nvPicPr>
        <xdr:cNvPr id="9" name="Picture 8">
          <a:extLst>
            <a:ext uri="{FF2B5EF4-FFF2-40B4-BE49-F238E27FC236}">
              <a16:creationId xmlns:a16="http://schemas.microsoft.com/office/drawing/2014/main" id="{408C5656-09D3-DB4E-A3ED-7B29620EBA65}"/>
            </a:ext>
          </a:extLst>
        </xdr:cNvPr>
        <xdr:cNvPicPr>
          <a:picLocks noChangeAspect="1"/>
        </xdr:cNvPicPr>
      </xdr:nvPicPr>
      <xdr:blipFill>
        <a:blip xmlns:r="http://schemas.openxmlformats.org/officeDocument/2006/relationships" r:embed="rId7"/>
        <a:stretch>
          <a:fillRect/>
        </a:stretch>
      </xdr:blipFill>
      <xdr:spPr>
        <a:xfrm>
          <a:off x="16154400" y="7073900"/>
          <a:ext cx="5803900" cy="907815"/>
        </a:xfrm>
        <a:prstGeom prst="rect">
          <a:avLst/>
        </a:prstGeom>
      </xdr:spPr>
    </xdr:pic>
    <xdr:clientData/>
  </xdr:twoCellAnchor>
  <xdr:twoCellAnchor editAs="oneCell">
    <xdr:from>
      <xdr:col>8</xdr:col>
      <xdr:colOff>88900</xdr:colOff>
      <xdr:row>6</xdr:row>
      <xdr:rowOff>150806</xdr:rowOff>
    </xdr:from>
    <xdr:to>
      <xdr:col>15</xdr:col>
      <xdr:colOff>711200</xdr:colOff>
      <xdr:row>9</xdr:row>
      <xdr:rowOff>38099</xdr:rowOff>
    </xdr:to>
    <xdr:pic>
      <xdr:nvPicPr>
        <xdr:cNvPr id="10" name="Picture 9">
          <a:extLst>
            <a:ext uri="{FF2B5EF4-FFF2-40B4-BE49-F238E27FC236}">
              <a16:creationId xmlns:a16="http://schemas.microsoft.com/office/drawing/2014/main" id="{BF640123-0E86-CC48-B7D9-60A988567592}"/>
            </a:ext>
          </a:extLst>
        </xdr:cNvPr>
        <xdr:cNvPicPr>
          <a:picLocks noChangeAspect="1"/>
        </xdr:cNvPicPr>
      </xdr:nvPicPr>
      <xdr:blipFill>
        <a:blip xmlns:r="http://schemas.openxmlformats.org/officeDocument/2006/relationships" r:embed="rId8"/>
        <a:stretch>
          <a:fillRect/>
        </a:stretch>
      </xdr:blipFill>
      <xdr:spPr>
        <a:xfrm>
          <a:off x="14795500" y="1370006"/>
          <a:ext cx="6540500" cy="496893"/>
        </a:xfrm>
        <a:prstGeom prst="rect">
          <a:avLst/>
        </a:prstGeom>
      </xdr:spPr>
    </xdr:pic>
    <xdr:clientData/>
  </xdr:twoCellAnchor>
  <xdr:twoCellAnchor editAs="oneCell">
    <xdr:from>
      <xdr:col>8</xdr:col>
      <xdr:colOff>88900</xdr:colOff>
      <xdr:row>8</xdr:row>
      <xdr:rowOff>190500</xdr:rowOff>
    </xdr:from>
    <xdr:to>
      <xdr:col>13</xdr:col>
      <xdr:colOff>647700</xdr:colOff>
      <xdr:row>13</xdr:row>
      <xdr:rowOff>0</xdr:rowOff>
    </xdr:to>
    <xdr:pic>
      <xdr:nvPicPr>
        <xdr:cNvPr id="11" name="Picture 10">
          <a:extLst>
            <a:ext uri="{FF2B5EF4-FFF2-40B4-BE49-F238E27FC236}">
              <a16:creationId xmlns:a16="http://schemas.microsoft.com/office/drawing/2014/main" id="{68441F70-551E-3D43-BAAD-C5A82EC40C5F}"/>
            </a:ext>
          </a:extLst>
        </xdr:cNvPr>
        <xdr:cNvPicPr>
          <a:picLocks noChangeAspect="1"/>
        </xdr:cNvPicPr>
      </xdr:nvPicPr>
      <xdr:blipFill>
        <a:blip xmlns:r="http://schemas.openxmlformats.org/officeDocument/2006/relationships" r:embed="rId9"/>
        <a:stretch>
          <a:fillRect/>
        </a:stretch>
      </xdr:blipFill>
      <xdr:spPr>
        <a:xfrm>
          <a:off x="14795500" y="1854200"/>
          <a:ext cx="4826000" cy="825500"/>
        </a:xfrm>
        <a:prstGeom prst="rect">
          <a:avLst/>
        </a:prstGeom>
      </xdr:spPr>
    </xdr:pic>
    <xdr:clientData/>
  </xdr:twoCellAnchor>
  <xdr:twoCellAnchor editAs="oneCell">
    <xdr:from>
      <xdr:col>8</xdr:col>
      <xdr:colOff>127000</xdr:colOff>
      <xdr:row>14</xdr:row>
      <xdr:rowOff>12700</xdr:rowOff>
    </xdr:from>
    <xdr:to>
      <xdr:col>11</xdr:col>
      <xdr:colOff>292100</xdr:colOff>
      <xdr:row>17</xdr:row>
      <xdr:rowOff>59252</xdr:rowOff>
    </xdr:to>
    <xdr:pic>
      <xdr:nvPicPr>
        <xdr:cNvPr id="12" name="Picture 11">
          <a:extLst>
            <a:ext uri="{FF2B5EF4-FFF2-40B4-BE49-F238E27FC236}">
              <a16:creationId xmlns:a16="http://schemas.microsoft.com/office/drawing/2014/main" id="{AD72E433-1844-C74A-84C7-12A37B846E52}"/>
            </a:ext>
          </a:extLst>
        </xdr:cNvPr>
        <xdr:cNvPicPr>
          <a:picLocks noChangeAspect="1"/>
        </xdr:cNvPicPr>
      </xdr:nvPicPr>
      <xdr:blipFill>
        <a:blip xmlns:r="http://schemas.openxmlformats.org/officeDocument/2006/relationships" r:embed="rId10"/>
        <a:stretch>
          <a:fillRect/>
        </a:stretch>
      </xdr:blipFill>
      <xdr:spPr>
        <a:xfrm>
          <a:off x="14833600" y="2895600"/>
          <a:ext cx="2781300" cy="656152"/>
        </a:xfrm>
        <a:prstGeom prst="rect">
          <a:avLst/>
        </a:prstGeom>
      </xdr:spPr>
    </xdr:pic>
    <xdr:clientData/>
  </xdr:twoCellAnchor>
  <xdr:twoCellAnchor editAs="oneCell">
    <xdr:from>
      <xdr:col>11</xdr:col>
      <xdr:colOff>444500</xdr:colOff>
      <xdr:row>14</xdr:row>
      <xdr:rowOff>12700</xdr:rowOff>
    </xdr:from>
    <xdr:to>
      <xdr:col>14</xdr:col>
      <xdr:colOff>553434</xdr:colOff>
      <xdr:row>17</xdr:row>
      <xdr:rowOff>88632</xdr:rowOff>
    </xdr:to>
    <xdr:pic>
      <xdr:nvPicPr>
        <xdr:cNvPr id="13" name="Picture 12">
          <a:extLst>
            <a:ext uri="{FF2B5EF4-FFF2-40B4-BE49-F238E27FC236}">
              <a16:creationId xmlns:a16="http://schemas.microsoft.com/office/drawing/2014/main" id="{35F3FC42-05A6-9E4E-93F9-B2908E0383AB}"/>
            </a:ext>
          </a:extLst>
        </xdr:cNvPr>
        <xdr:cNvPicPr>
          <a:picLocks noChangeAspect="1"/>
        </xdr:cNvPicPr>
      </xdr:nvPicPr>
      <xdr:blipFill>
        <a:blip xmlns:r="http://schemas.openxmlformats.org/officeDocument/2006/relationships" r:embed="rId11"/>
        <a:stretch>
          <a:fillRect/>
        </a:stretch>
      </xdr:blipFill>
      <xdr:spPr>
        <a:xfrm>
          <a:off x="17767300" y="2895600"/>
          <a:ext cx="2585434" cy="685532"/>
        </a:xfrm>
        <a:prstGeom prst="rect">
          <a:avLst/>
        </a:prstGeom>
      </xdr:spPr>
    </xdr:pic>
    <xdr:clientData/>
  </xdr:twoCellAnchor>
  <xdr:twoCellAnchor editAs="oneCell">
    <xdr:from>
      <xdr:col>6</xdr:col>
      <xdr:colOff>317500</xdr:colOff>
      <xdr:row>40</xdr:row>
      <xdr:rowOff>12700</xdr:rowOff>
    </xdr:from>
    <xdr:to>
      <xdr:col>7</xdr:col>
      <xdr:colOff>1821140</xdr:colOff>
      <xdr:row>43</xdr:row>
      <xdr:rowOff>76200</xdr:rowOff>
    </xdr:to>
    <xdr:pic>
      <xdr:nvPicPr>
        <xdr:cNvPr id="14" name="Picture 13">
          <a:extLst>
            <a:ext uri="{FF2B5EF4-FFF2-40B4-BE49-F238E27FC236}">
              <a16:creationId xmlns:a16="http://schemas.microsoft.com/office/drawing/2014/main" id="{01EB9CB1-4F25-8B4F-84D7-89C0F60D3DCA}"/>
            </a:ext>
          </a:extLst>
        </xdr:cNvPr>
        <xdr:cNvPicPr>
          <a:picLocks noChangeAspect="1"/>
        </xdr:cNvPicPr>
      </xdr:nvPicPr>
      <xdr:blipFill>
        <a:blip xmlns:r="http://schemas.openxmlformats.org/officeDocument/2006/relationships" r:embed="rId12"/>
        <a:stretch>
          <a:fillRect/>
        </a:stretch>
      </xdr:blipFill>
      <xdr:spPr>
        <a:xfrm>
          <a:off x="10706100" y="8204200"/>
          <a:ext cx="3675340" cy="673100"/>
        </a:xfrm>
        <a:prstGeom prst="rect">
          <a:avLst/>
        </a:prstGeom>
      </xdr:spPr>
    </xdr:pic>
    <xdr:clientData/>
  </xdr:twoCellAnchor>
  <xdr:twoCellAnchor editAs="oneCell">
    <xdr:from>
      <xdr:col>6</xdr:col>
      <xdr:colOff>330200</xdr:colOff>
      <xdr:row>43</xdr:row>
      <xdr:rowOff>114300</xdr:rowOff>
    </xdr:from>
    <xdr:to>
      <xdr:col>7</xdr:col>
      <xdr:colOff>772911</xdr:colOff>
      <xdr:row>47</xdr:row>
      <xdr:rowOff>12700</xdr:rowOff>
    </xdr:to>
    <xdr:pic>
      <xdr:nvPicPr>
        <xdr:cNvPr id="15" name="Picture 14">
          <a:extLst>
            <a:ext uri="{FF2B5EF4-FFF2-40B4-BE49-F238E27FC236}">
              <a16:creationId xmlns:a16="http://schemas.microsoft.com/office/drawing/2014/main" id="{284D343A-16A5-B945-981E-3AA0456EC72E}"/>
            </a:ext>
          </a:extLst>
        </xdr:cNvPr>
        <xdr:cNvPicPr>
          <a:picLocks noChangeAspect="1"/>
        </xdr:cNvPicPr>
      </xdr:nvPicPr>
      <xdr:blipFill>
        <a:blip xmlns:r="http://schemas.openxmlformats.org/officeDocument/2006/relationships" r:embed="rId13"/>
        <a:stretch>
          <a:fillRect/>
        </a:stretch>
      </xdr:blipFill>
      <xdr:spPr>
        <a:xfrm>
          <a:off x="10718800" y="8915400"/>
          <a:ext cx="2614411" cy="711200"/>
        </a:xfrm>
        <a:prstGeom prst="rect">
          <a:avLst/>
        </a:prstGeom>
      </xdr:spPr>
    </xdr:pic>
    <xdr:clientData/>
  </xdr:twoCellAnchor>
  <xdr:twoCellAnchor>
    <xdr:from>
      <xdr:col>6</xdr:col>
      <xdr:colOff>2019300</xdr:colOff>
      <xdr:row>48</xdr:row>
      <xdr:rowOff>165100</xdr:rowOff>
    </xdr:from>
    <xdr:to>
      <xdr:col>11</xdr:col>
      <xdr:colOff>68580</xdr:colOff>
      <xdr:row>52</xdr:row>
      <xdr:rowOff>165100</xdr:rowOff>
    </xdr:to>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66D4ADC0-D875-9146-8E30-DA5F460BC7AE}"/>
                </a:ext>
              </a:extLst>
            </xdr:cNvPr>
            <xdr:cNvSpPr txBox="1"/>
          </xdr:nvSpPr>
          <xdr:spPr>
            <a:xfrm>
              <a:off x="12423140" y="10599420"/>
              <a:ext cx="4978400" cy="853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𝑂𝑣𝑒𝑟𝑎𝑙𝑙</m:t>
                    </m:r>
                    <m:r>
                      <a:rPr lang="en-US" sz="1100" b="0" i="1">
                        <a:latin typeface="Cambria Math" panose="02040503050406030204" pitchFamily="18" charset="0"/>
                      </a:rPr>
                      <m:t> </m:t>
                    </m:r>
                    <m:r>
                      <a:rPr lang="en-US" sz="1100" b="0" i="1">
                        <a:latin typeface="Cambria Math" panose="02040503050406030204" pitchFamily="18" charset="0"/>
                      </a:rPr>
                      <m:t>𝑅𝑒𝑡𝑢𝑟𝑛</m:t>
                    </m:r>
                    <m:r>
                      <a:rPr lang="en-US" sz="1100" b="0" i="1">
                        <a:latin typeface="Cambria Math" panose="02040503050406030204" pitchFamily="18" charset="0"/>
                      </a:rPr>
                      <m:t>=</m:t>
                    </m:r>
                    <m:sSup>
                      <m:sSupPr>
                        <m:ctrlPr>
                          <a:rPr lang="en-US" sz="1100" i="1">
                            <a:latin typeface="Cambria Math" panose="02040503050406030204" pitchFamily="18" charset="0"/>
                          </a:rPr>
                        </m:ctrlPr>
                      </m:sSupPr>
                      <m:e>
                        <m:d>
                          <m:dPr>
                            <m:ctrlPr>
                              <a:rPr lang="en-US" sz="1100" i="1">
                                <a:latin typeface="Cambria Math" panose="02040503050406030204" pitchFamily="18" charset="0"/>
                              </a:rPr>
                            </m:ctrlPr>
                          </m:dPr>
                          <m:e>
                            <m:f>
                              <m:fPr>
                                <m:ctrlPr>
                                  <a:rPr lang="en-US" sz="1100" i="1">
                                    <a:latin typeface="Cambria Math" panose="02040503050406030204" pitchFamily="18" charset="0"/>
                                  </a:rPr>
                                </m:ctrlPr>
                              </m:fPr>
                              <m:num>
                                <m:r>
                                  <a:rPr lang="en-US" sz="1100" b="0" i="1">
                                    <a:latin typeface="Cambria Math" panose="02040503050406030204" pitchFamily="18" charset="0"/>
                                  </a:rPr>
                                  <m:t>𝑇𝑒𝑟𝑚𝑖𝑛𝑎𝑙</m:t>
                                </m:r>
                                <m:r>
                                  <a:rPr lang="en-US" sz="1100" b="0" i="1">
                                    <a:latin typeface="Cambria Math" panose="02040503050406030204" pitchFamily="18" charset="0"/>
                                  </a:rPr>
                                  <m:t> </m:t>
                                </m:r>
                                <m:r>
                                  <a:rPr lang="en-US" sz="1100" b="0" i="1">
                                    <a:latin typeface="Cambria Math" panose="02040503050406030204" pitchFamily="18" charset="0"/>
                                  </a:rPr>
                                  <m:t>𝐷𝑖𝑠𝑡𝑟𝑖𝑏𝑢𝑡𝑖𝑜𝑛</m:t>
                                </m:r>
                                <m:r>
                                  <a:rPr lang="en-US" sz="1100" b="0" i="1">
                                    <a:latin typeface="Cambria Math" panose="02040503050406030204" pitchFamily="18" charset="0"/>
                                  </a:rPr>
                                  <m:t> </m:t>
                                </m:r>
                                <m:r>
                                  <a:rPr lang="en-US" sz="1100" b="0" i="1">
                                    <a:latin typeface="Cambria Math" panose="02040503050406030204" pitchFamily="18" charset="0"/>
                                  </a:rPr>
                                  <m:t>𝑡𝑜</m:t>
                                </m:r>
                                <m:r>
                                  <a:rPr lang="en-US" sz="1100" b="0" i="1">
                                    <a:latin typeface="Cambria Math" panose="02040503050406030204" pitchFamily="18" charset="0"/>
                                  </a:rPr>
                                  <m:t> </m:t>
                                </m:r>
                                <m:r>
                                  <a:rPr lang="en-US" sz="1100" b="0" i="1">
                                    <a:latin typeface="Cambria Math" panose="02040503050406030204" pitchFamily="18" charset="0"/>
                                  </a:rPr>
                                  <m:t>𝐼𝑛𝑣𝑒𝑠𝑡𝑜𝑟</m:t>
                                </m:r>
                              </m:num>
                              <m:den>
                                <m:r>
                                  <a:rPr lang="en-US" sz="1100" b="0" i="1">
                                    <a:latin typeface="Cambria Math" panose="02040503050406030204" pitchFamily="18" charset="0"/>
                                  </a:rPr>
                                  <m:t>𝐼𝑛𝑣𝑒𝑠𝑡𝑚𝑒𝑛𝑡</m:t>
                                </m:r>
                              </m:den>
                            </m:f>
                          </m:e>
                        </m:d>
                      </m:e>
                      <m:sup>
                        <m:r>
                          <a:rPr lang="en-US" sz="1100" b="0" i="1">
                            <a:latin typeface="Cambria Math" panose="02040503050406030204" pitchFamily="18" charset="0"/>
                          </a:rPr>
                          <m:t>1/</m:t>
                        </m:r>
                        <m:r>
                          <a:rPr lang="en-US" sz="1100" b="0" i="1">
                            <a:latin typeface="Cambria Math" panose="02040503050406030204" pitchFamily="18" charset="0"/>
                          </a:rPr>
                          <m:t>𝑁</m:t>
                        </m:r>
                      </m:sup>
                    </m:sSup>
                    <m:r>
                      <a:rPr lang="en-US" sz="1100" b="0" i="1">
                        <a:latin typeface="Cambria Math" panose="02040503050406030204" pitchFamily="18" charset="0"/>
                      </a:rPr>
                      <m:t>−1</m:t>
                    </m:r>
                  </m:oMath>
                </m:oMathPara>
              </a14:m>
              <a:endParaRPr lang="en-US" sz="1100"/>
            </a:p>
            <a:p>
              <a:endParaRPr lang="en-US" sz="1100"/>
            </a:p>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𝑇𝑒𝑟𝑚𝑖𝑛𝑎𝑙</m:t>
                    </m:r>
                    <m:r>
                      <a:rPr lang="en-US" sz="1100" b="0" i="1">
                        <a:latin typeface="Cambria Math" panose="02040503050406030204" pitchFamily="18" charset="0"/>
                      </a:rPr>
                      <m:t> </m:t>
                    </m:r>
                    <m:r>
                      <a:rPr lang="en-US" sz="1100" b="0" i="1">
                        <a:latin typeface="Cambria Math" panose="02040503050406030204" pitchFamily="18" charset="0"/>
                      </a:rPr>
                      <m:t>𝐷𝑖𝑠𝑡𝑟𝑖𝑏𝑢𝑡𝑖𝑜𝑛</m:t>
                    </m:r>
                    <m:r>
                      <a:rPr lang="en-US" sz="1100" b="0" i="1">
                        <a:latin typeface="Cambria Math" panose="02040503050406030204" pitchFamily="18" charset="0"/>
                      </a:rPr>
                      <m:t> </m:t>
                    </m:r>
                    <m:r>
                      <a:rPr lang="en-US" sz="1100" b="0" i="1">
                        <a:latin typeface="Cambria Math" panose="02040503050406030204" pitchFamily="18" charset="0"/>
                      </a:rPr>
                      <m:t>𝑡𝑜</m:t>
                    </m:r>
                    <m:r>
                      <a:rPr lang="en-US" sz="1100" b="0" i="1">
                        <a:latin typeface="Cambria Math" panose="02040503050406030204" pitchFamily="18" charset="0"/>
                      </a:rPr>
                      <m:t> </m:t>
                    </m:r>
                    <m:r>
                      <a:rPr lang="en-US" sz="1100" b="0" i="1">
                        <a:latin typeface="Cambria Math" panose="02040503050406030204" pitchFamily="18" charset="0"/>
                      </a:rPr>
                      <m:t>𝐼𝑛𝑣𝑒𝑠𝑡𝑜𝑟</m:t>
                    </m:r>
                    <m:r>
                      <a:rPr lang="en-US" sz="1100" b="0" i="0">
                        <a:latin typeface="Cambria Math" panose="02040503050406030204" pitchFamily="18" charset="0"/>
                      </a:rPr>
                      <m:t>=</m:t>
                    </m:r>
                    <m:r>
                      <m:rPr>
                        <m:sty m:val="p"/>
                      </m:rPr>
                      <a:rPr lang="en-US" sz="1100" b="0" i="0">
                        <a:latin typeface="Cambria Math" panose="02040503050406030204" pitchFamily="18" charset="0"/>
                      </a:rPr>
                      <m:t>Terminal</m:t>
                    </m:r>
                    <m:r>
                      <a:rPr lang="en-US" sz="1100" b="0" i="0">
                        <a:latin typeface="Cambria Math" panose="02040503050406030204" pitchFamily="18" charset="0"/>
                      </a:rPr>
                      <m:t> </m:t>
                    </m:r>
                    <m:r>
                      <m:rPr>
                        <m:sty m:val="p"/>
                      </m:rPr>
                      <a:rPr lang="en-US" sz="1100" b="0" i="0">
                        <a:latin typeface="Cambria Math" panose="02040503050406030204" pitchFamily="18" charset="0"/>
                      </a:rPr>
                      <m:t>Price</m:t>
                    </m:r>
                    <m:r>
                      <a:rPr lang="en-US" sz="1100" b="0" i="0">
                        <a:latin typeface="Cambria Math" panose="02040503050406030204" pitchFamily="18" charset="0"/>
                      </a:rPr>
                      <m:t> </m:t>
                    </m:r>
                    <m:r>
                      <m:rPr>
                        <m:sty m:val="p"/>
                      </m:rPr>
                      <a:rPr lang="en-US" sz="1100" b="0" i="0">
                        <a:latin typeface="Cambria Math" panose="02040503050406030204" pitchFamily="18" charset="0"/>
                      </a:rPr>
                      <m:t>per</m:t>
                    </m:r>
                    <m:r>
                      <a:rPr lang="en-US" sz="1100" b="0" i="0">
                        <a:latin typeface="Cambria Math" panose="02040503050406030204" pitchFamily="18" charset="0"/>
                      </a:rPr>
                      <m:t> </m:t>
                    </m:r>
                    <m:r>
                      <m:rPr>
                        <m:sty m:val="p"/>
                      </m:rPr>
                      <a:rPr lang="en-US" sz="1100" b="0" i="0">
                        <a:latin typeface="Cambria Math" panose="02040503050406030204" pitchFamily="18" charset="0"/>
                      </a:rPr>
                      <m:t>Share</m:t>
                    </m:r>
                    <m:r>
                      <a:rPr lang="en-US" sz="1100" b="0" i="1">
                        <a:latin typeface="Cambria Math" panose="02040503050406030204" pitchFamily="18" charset="0"/>
                      </a:rPr>
                      <m:t> </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𝑆h𝑎𝑟𝑒𝑠</m:t>
                    </m:r>
                  </m:oMath>
                </m:oMathPara>
              </a14:m>
              <a:endParaRPr lang="en-US" sz="1100"/>
            </a:p>
          </xdr:txBody>
        </xdr:sp>
      </mc:Choice>
      <mc:Fallback xmlns="">
        <xdr:sp macro="" textlink="">
          <xdr:nvSpPr>
            <xdr:cNvPr id="16" name="TextBox 15">
              <a:extLst>
                <a:ext uri="{FF2B5EF4-FFF2-40B4-BE49-F238E27FC236}">
                  <a16:creationId xmlns:a16="http://schemas.microsoft.com/office/drawing/2014/main" id="{66D4ADC0-D875-9146-8E30-DA5F460BC7AE}"/>
                </a:ext>
              </a:extLst>
            </xdr:cNvPr>
            <xdr:cNvSpPr txBox="1"/>
          </xdr:nvSpPr>
          <xdr:spPr>
            <a:xfrm>
              <a:off x="12423140" y="10599420"/>
              <a:ext cx="4978400" cy="853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b="0" i="0">
                  <a:latin typeface="Cambria Math" panose="02040503050406030204" pitchFamily="18" charset="0"/>
                </a:rPr>
                <a:t>𝑂𝑣𝑒𝑟𝑎𝑙𝑙 𝑅𝑒𝑡𝑢𝑟𝑛=</a:t>
              </a:r>
              <a:r>
                <a:rPr lang="en-US" sz="1100" i="0">
                  <a:latin typeface="Cambria Math" panose="02040503050406030204" pitchFamily="18" charset="0"/>
                </a:rPr>
                <a:t>((</a:t>
              </a:r>
              <a:r>
                <a:rPr lang="en-US" sz="1100" b="0" i="0">
                  <a:latin typeface="Cambria Math" panose="02040503050406030204" pitchFamily="18" charset="0"/>
                </a:rPr>
                <a:t>𝑇𝑒𝑟𝑚𝑖𝑛𝑎𝑙 𝐷𝑖𝑠𝑡𝑟𝑖𝑏𝑢𝑡𝑖𝑜𝑛 𝑡𝑜 𝐼𝑛𝑣𝑒𝑠𝑡𝑜𝑟)/𝐼𝑛𝑣𝑒𝑠𝑡𝑚𝑒𝑛𝑡)^(1/𝑁)−1</a:t>
              </a:r>
              <a:endParaRPr lang="en-US" sz="1100"/>
            </a:p>
            <a:p>
              <a:endParaRPr lang="en-US" sz="1100"/>
            </a:p>
            <a:p>
              <a:pPr/>
              <a:r>
                <a:rPr lang="en-US" sz="1100" b="0" i="0">
                  <a:latin typeface="Cambria Math" panose="02040503050406030204" pitchFamily="18" charset="0"/>
                </a:rPr>
                <a:t>𝑇𝑒𝑟𝑚𝑖𝑛𝑎𝑙 𝐷𝑖𝑠𝑡𝑟𝑖𝑏𝑢𝑡𝑖𝑜𝑛 𝑡𝑜 𝐼𝑛𝑣𝑒𝑠𝑡𝑜𝑟=Terminal Price per Share </a:t>
              </a:r>
              <a:r>
                <a:rPr lang="en-US" sz="1100" b="0" i="0">
                  <a:latin typeface="Cambria Math" panose="02040503050406030204" pitchFamily="18" charset="0"/>
                  <a:ea typeface="Cambria Math" panose="02040503050406030204" pitchFamily="18" charset="0"/>
                </a:rPr>
                <a:t>× #𝑆ℎ𝑎𝑟𝑒𝑠</a:t>
              </a:r>
              <a:endParaRPr lang="en-US" sz="1100"/>
            </a:p>
          </xdr:txBody>
        </xdr:sp>
      </mc:Fallback>
    </mc:AlternateContent>
    <xdr:clientData/>
  </xdr:twoCellAnchor>
  <xdr:twoCellAnchor>
    <xdr:from>
      <xdr:col>0</xdr:col>
      <xdr:colOff>0</xdr:colOff>
      <xdr:row>54</xdr:row>
      <xdr:rowOff>50800</xdr:rowOff>
    </xdr:from>
    <xdr:to>
      <xdr:col>6</xdr:col>
      <xdr:colOff>1638300</xdr:colOff>
      <xdr:row>56</xdr:row>
      <xdr:rowOff>152400</xdr:rowOff>
    </xdr:to>
    <xdr:sp macro="" textlink="">
      <xdr:nvSpPr>
        <xdr:cNvPr id="17" name="TextBox 16">
          <a:extLst>
            <a:ext uri="{FF2B5EF4-FFF2-40B4-BE49-F238E27FC236}">
              <a16:creationId xmlns:a16="http://schemas.microsoft.com/office/drawing/2014/main" id="{480CB2A9-7D42-A641-A031-F08FFB298C38}"/>
            </a:ext>
          </a:extLst>
        </xdr:cNvPr>
        <xdr:cNvSpPr txBox="1"/>
      </xdr:nvSpPr>
      <xdr:spPr>
        <a:xfrm>
          <a:off x="0" y="12141200"/>
          <a:ext cx="12026900" cy="5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a:latin typeface="Times New Roman" panose="02020603050405020304" pitchFamily="18" charset="0"/>
              <a:cs typeface="Times New Roman" panose="02020603050405020304" pitchFamily="18" charset="0"/>
            </a:rPr>
            <a:t>The two‐year delay </a:t>
          </a:r>
          <a:r>
            <a:rPr lang="en-US" sz="1400" b="0">
              <a:latin typeface="Times New Roman" panose="02020603050405020304" pitchFamily="18" charset="0"/>
              <a:cs typeface="Times New Roman" panose="02020603050405020304" pitchFamily="18" charset="0"/>
            </a:rPr>
            <a:t>would hurt</a:t>
          </a:r>
          <a:r>
            <a:rPr lang="en-US" sz="1400">
              <a:latin typeface="Times New Roman" panose="02020603050405020304" pitchFamily="18" charset="0"/>
              <a:cs typeface="Times New Roman" panose="02020603050405020304" pitchFamily="18" charset="0"/>
            </a:rPr>
            <a:t> the earlier investors’ ultimate IRRs. Series A is already “locked in” and gets diluted even more as B and C re‐price the company or demand bigger percentages. </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114300</xdr:colOff>
      <xdr:row>0</xdr:row>
      <xdr:rowOff>12700</xdr:rowOff>
    </xdr:from>
    <xdr:to>
      <xdr:col>10</xdr:col>
      <xdr:colOff>431800</xdr:colOff>
      <xdr:row>5</xdr:row>
      <xdr:rowOff>127000</xdr:rowOff>
    </xdr:to>
    <xdr:sp macro="" textlink="">
      <xdr:nvSpPr>
        <xdr:cNvPr id="2" name="TextBox 1">
          <a:extLst>
            <a:ext uri="{FF2B5EF4-FFF2-40B4-BE49-F238E27FC236}">
              <a16:creationId xmlns:a16="http://schemas.microsoft.com/office/drawing/2014/main" id="{185EF362-F394-AA48-8D8A-38BAD3FFBFCE}"/>
            </a:ext>
          </a:extLst>
        </xdr:cNvPr>
        <xdr:cNvSpPr txBox="1"/>
      </xdr:nvSpPr>
      <xdr:spPr>
        <a:xfrm>
          <a:off x="114300" y="12700"/>
          <a:ext cx="16814800" cy="1130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dk1"/>
              </a:solidFill>
              <a:effectLst/>
              <a:latin typeface="Times New Roman" panose="02020603050405020304" pitchFamily="18" charset="0"/>
              <a:ea typeface="+mn-ea"/>
              <a:cs typeface="Times New Roman" panose="02020603050405020304" pitchFamily="18" charset="0"/>
            </a:rPr>
            <a:t>Question #6.</a:t>
          </a:r>
          <a:r>
            <a:rPr lang="en-US" sz="1400" b="0" baseline="0">
              <a:solidFill>
                <a:schemeClr val="dk1"/>
              </a:solidFill>
              <a:effectLst/>
              <a:latin typeface="Times New Roman" panose="02020603050405020304" pitchFamily="18" charset="0"/>
              <a:ea typeface="+mn-ea"/>
              <a:cs typeface="Times New Roman" panose="02020603050405020304" pitchFamily="18" charset="0"/>
            </a:rPr>
            <a:t> </a:t>
          </a:r>
          <a:r>
            <a:rPr lang="en-US" sz="1400">
              <a:solidFill>
                <a:schemeClr val="dk1"/>
              </a:solidFill>
              <a:effectLst/>
              <a:latin typeface="Times New Roman" panose="02020603050405020304" pitchFamily="18" charset="0"/>
              <a:ea typeface="+mn-ea"/>
              <a:cs typeface="Times New Roman" panose="02020603050405020304" pitchFamily="18" charset="0"/>
            </a:rPr>
            <a:t>When answering this Question #6, ignore the delay scenario of Question #5 but include the option pool of Question #4.  Without adjusting the number of shares they would acquire for their Series A, B and C investments as calculated in Question #4, TVC proposed using a hybrid security called </a:t>
          </a:r>
          <a:r>
            <a:rPr lang="en-US" sz="1400" b="1" i="1">
              <a:solidFill>
                <a:schemeClr val="dk1"/>
              </a:solidFill>
              <a:effectLst/>
              <a:latin typeface="Times New Roman" panose="02020603050405020304" pitchFamily="18" charset="0"/>
              <a:ea typeface="+mn-ea"/>
              <a:cs typeface="Times New Roman" panose="02020603050405020304" pitchFamily="18" charset="0"/>
            </a:rPr>
            <a:t>participating preferred</a:t>
          </a:r>
          <a:r>
            <a:rPr lang="en-US" sz="1400">
              <a:solidFill>
                <a:schemeClr val="dk1"/>
              </a:solidFill>
              <a:effectLst/>
              <a:latin typeface="Times New Roman" panose="02020603050405020304" pitchFamily="18" charset="0"/>
              <a:ea typeface="+mn-ea"/>
              <a:cs typeface="Times New Roman" panose="02020603050405020304" pitchFamily="18" charset="0"/>
            </a:rPr>
            <a:t> stock for their Series B and C, but </a:t>
          </a:r>
          <a:r>
            <a:rPr lang="en-US" sz="1400" u="sng">
              <a:solidFill>
                <a:schemeClr val="dk1"/>
              </a:solidFill>
              <a:effectLst/>
              <a:latin typeface="Times New Roman" panose="02020603050405020304" pitchFamily="18" charset="0"/>
              <a:ea typeface="+mn-ea"/>
              <a:cs typeface="Times New Roman" panose="02020603050405020304" pitchFamily="18" charset="0"/>
            </a:rPr>
            <a:t>not</a:t>
          </a:r>
          <a:r>
            <a:rPr lang="en-US" sz="1400">
              <a:solidFill>
                <a:schemeClr val="dk1"/>
              </a:solidFill>
              <a:effectLst/>
              <a:latin typeface="Times New Roman" panose="02020603050405020304" pitchFamily="18" charset="0"/>
              <a:ea typeface="+mn-ea"/>
              <a:cs typeface="Times New Roman" panose="02020603050405020304" pitchFamily="18" charset="0"/>
            </a:rPr>
            <a:t> Series A, shares.  This security has an additional benefit in that, at the time of the 2030 liquidity event, an amount equal to their original Series B and C investments would be paid to TVC from the liquidation proceeds on a priority basis before any distributions based on shareholdings are calculated.  What compound annual rates of return would TVC realize on their Series B and C investments, respectively, as a result of using this </a:t>
          </a:r>
          <a:r>
            <a:rPr lang="en-US" sz="1400" b="1" i="1">
              <a:solidFill>
                <a:schemeClr val="dk1"/>
              </a:solidFill>
              <a:effectLst/>
              <a:latin typeface="Times New Roman" panose="02020603050405020304" pitchFamily="18" charset="0"/>
              <a:ea typeface="+mn-ea"/>
              <a:cs typeface="Times New Roman" panose="02020603050405020304" pitchFamily="18" charset="0"/>
            </a:rPr>
            <a:t>participating preferred</a:t>
          </a:r>
          <a:r>
            <a:rPr lang="en-US" sz="1400">
              <a:solidFill>
                <a:schemeClr val="dk1"/>
              </a:solidFill>
              <a:effectLst/>
              <a:latin typeface="Times New Roman" panose="02020603050405020304" pitchFamily="18" charset="0"/>
              <a:ea typeface="+mn-ea"/>
              <a:cs typeface="Times New Roman" panose="02020603050405020304" pitchFamily="18" charset="0"/>
            </a:rPr>
            <a:t> stock?  What compound annual rate of return would then be realized in Series A under this proposal?  How much cash would then be distributed to the founders and to Cathy at the time of the liquidity event?  </a:t>
          </a:r>
          <a:endParaRPr lang="en-CN" sz="14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editAs="oneCell">
    <xdr:from>
      <xdr:col>2</xdr:col>
      <xdr:colOff>152400</xdr:colOff>
      <xdr:row>12</xdr:row>
      <xdr:rowOff>127000</xdr:rowOff>
    </xdr:from>
    <xdr:to>
      <xdr:col>4</xdr:col>
      <xdr:colOff>1360741</xdr:colOff>
      <xdr:row>17</xdr:row>
      <xdr:rowOff>76200</xdr:rowOff>
    </xdr:to>
    <xdr:pic>
      <xdr:nvPicPr>
        <xdr:cNvPr id="3" name="Picture 2">
          <a:extLst>
            <a:ext uri="{FF2B5EF4-FFF2-40B4-BE49-F238E27FC236}">
              <a16:creationId xmlns:a16="http://schemas.microsoft.com/office/drawing/2014/main" id="{7143FEA8-EEA8-2343-9990-F44C307A0230}"/>
            </a:ext>
          </a:extLst>
        </xdr:cNvPr>
        <xdr:cNvPicPr>
          <a:picLocks noChangeAspect="1"/>
        </xdr:cNvPicPr>
      </xdr:nvPicPr>
      <xdr:blipFill>
        <a:blip xmlns:r="http://schemas.openxmlformats.org/officeDocument/2006/relationships" r:embed="rId1"/>
        <a:stretch>
          <a:fillRect/>
        </a:stretch>
      </xdr:blipFill>
      <xdr:spPr>
        <a:xfrm>
          <a:off x="4356100" y="2603500"/>
          <a:ext cx="4294441" cy="965200"/>
        </a:xfrm>
        <a:prstGeom prst="rect">
          <a:avLst/>
        </a:prstGeom>
      </xdr:spPr>
    </xdr:pic>
    <xdr:clientData/>
  </xdr:twoCellAnchor>
  <xdr:twoCellAnchor editAs="oneCell">
    <xdr:from>
      <xdr:col>6</xdr:col>
      <xdr:colOff>596900</xdr:colOff>
      <xdr:row>19</xdr:row>
      <xdr:rowOff>114300</xdr:rowOff>
    </xdr:from>
    <xdr:to>
      <xdr:col>7</xdr:col>
      <xdr:colOff>660400</xdr:colOff>
      <xdr:row>20</xdr:row>
      <xdr:rowOff>289633</xdr:rowOff>
    </xdr:to>
    <xdr:pic>
      <xdr:nvPicPr>
        <xdr:cNvPr id="4" name="Picture 3">
          <a:extLst>
            <a:ext uri="{FF2B5EF4-FFF2-40B4-BE49-F238E27FC236}">
              <a16:creationId xmlns:a16="http://schemas.microsoft.com/office/drawing/2014/main" id="{104B67CD-5319-AC4D-A1DD-B1CE0F7C01DA}"/>
            </a:ext>
          </a:extLst>
        </xdr:cNvPr>
        <xdr:cNvPicPr>
          <a:picLocks noChangeAspect="1"/>
        </xdr:cNvPicPr>
      </xdr:nvPicPr>
      <xdr:blipFill rotWithShape="1">
        <a:blip xmlns:r="http://schemas.openxmlformats.org/officeDocument/2006/relationships" r:embed="rId2"/>
        <a:srcRect t="59616" r="71242"/>
        <a:stretch/>
      </xdr:blipFill>
      <xdr:spPr>
        <a:xfrm>
          <a:off x="10985500" y="4102100"/>
          <a:ext cx="2235200" cy="378533"/>
        </a:xfrm>
        <a:prstGeom prst="rect">
          <a:avLst/>
        </a:prstGeom>
      </xdr:spPr>
    </xdr:pic>
    <xdr:clientData/>
  </xdr:twoCellAnchor>
  <xdr:twoCellAnchor editAs="oneCell">
    <xdr:from>
      <xdr:col>6</xdr:col>
      <xdr:colOff>584200</xdr:colOff>
      <xdr:row>20</xdr:row>
      <xdr:rowOff>279400</xdr:rowOff>
    </xdr:from>
    <xdr:to>
      <xdr:col>8</xdr:col>
      <xdr:colOff>863600</xdr:colOff>
      <xdr:row>23</xdr:row>
      <xdr:rowOff>0</xdr:rowOff>
    </xdr:to>
    <xdr:pic>
      <xdr:nvPicPr>
        <xdr:cNvPr id="5" name="Picture 4">
          <a:extLst>
            <a:ext uri="{FF2B5EF4-FFF2-40B4-BE49-F238E27FC236}">
              <a16:creationId xmlns:a16="http://schemas.microsoft.com/office/drawing/2014/main" id="{FDD8307D-B133-D649-9053-6468370E6F25}"/>
            </a:ext>
          </a:extLst>
        </xdr:cNvPr>
        <xdr:cNvPicPr>
          <a:picLocks noChangeAspect="1"/>
        </xdr:cNvPicPr>
      </xdr:nvPicPr>
      <xdr:blipFill rotWithShape="1">
        <a:blip xmlns:r="http://schemas.openxmlformats.org/officeDocument/2006/relationships" r:embed="rId3"/>
        <a:srcRect t="50513" r="40849" b="-304"/>
        <a:stretch/>
      </xdr:blipFill>
      <xdr:spPr>
        <a:xfrm>
          <a:off x="10972800" y="4470400"/>
          <a:ext cx="4597400" cy="876300"/>
        </a:xfrm>
        <a:prstGeom prst="rect">
          <a:avLst/>
        </a:prstGeom>
      </xdr:spPr>
    </xdr:pic>
    <xdr:clientData/>
  </xdr:twoCellAnchor>
  <xdr:twoCellAnchor editAs="oneCell">
    <xdr:from>
      <xdr:col>6</xdr:col>
      <xdr:colOff>800099</xdr:colOff>
      <xdr:row>24</xdr:row>
      <xdr:rowOff>12700</xdr:rowOff>
    </xdr:from>
    <xdr:to>
      <xdr:col>7</xdr:col>
      <xdr:colOff>2006600</xdr:colOff>
      <xdr:row>29</xdr:row>
      <xdr:rowOff>16534</xdr:rowOff>
    </xdr:to>
    <xdr:pic>
      <xdr:nvPicPr>
        <xdr:cNvPr id="6" name="Picture 5">
          <a:extLst>
            <a:ext uri="{FF2B5EF4-FFF2-40B4-BE49-F238E27FC236}">
              <a16:creationId xmlns:a16="http://schemas.microsoft.com/office/drawing/2014/main" id="{C2CCDBFB-1F76-6D46-A936-4B693EB82A3C}"/>
            </a:ext>
          </a:extLst>
        </xdr:cNvPr>
        <xdr:cNvPicPr>
          <a:picLocks noChangeAspect="1"/>
        </xdr:cNvPicPr>
      </xdr:nvPicPr>
      <xdr:blipFill>
        <a:blip xmlns:r="http://schemas.openxmlformats.org/officeDocument/2006/relationships" r:embed="rId4"/>
        <a:stretch>
          <a:fillRect/>
        </a:stretch>
      </xdr:blipFill>
      <xdr:spPr>
        <a:xfrm>
          <a:off x="11188699" y="5562600"/>
          <a:ext cx="3378201" cy="1019834"/>
        </a:xfrm>
        <a:prstGeom prst="rect">
          <a:avLst/>
        </a:prstGeom>
      </xdr:spPr>
    </xdr:pic>
    <xdr:clientData/>
  </xdr:twoCellAnchor>
  <xdr:twoCellAnchor editAs="oneCell">
    <xdr:from>
      <xdr:col>9</xdr:col>
      <xdr:colOff>241300</xdr:colOff>
      <xdr:row>23</xdr:row>
      <xdr:rowOff>134334</xdr:rowOff>
    </xdr:from>
    <xdr:to>
      <xdr:col>13</xdr:col>
      <xdr:colOff>484257</xdr:colOff>
      <xdr:row>29</xdr:row>
      <xdr:rowOff>63500</xdr:rowOff>
    </xdr:to>
    <xdr:pic>
      <xdr:nvPicPr>
        <xdr:cNvPr id="7" name="Picture 6">
          <a:extLst>
            <a:ext uri="{FF2B5EF4-FFF2-40B4-BE49-F238E27FC236}">
              <a16:creationId xmlns:a16="http://schemas.microsoft.com/office/drawing/2014/main" id="{50F53BF3-6324-3947-8045-B20A6F1FA21B}"/>
            </a:ext>
          </a:extLst>
        </xdr:cNvPr>
        <xdr:cNvPicPr>
          <a:picLocks noChangeAspect="1"/>
        </xdr:cNvPicPr>
      </xdr:nvPicPr>
      <xdr:blipFill>
        <a:blip xmlns:r="http://schemas.openxmlformats.org/officeDocument/2006/relationships" r:embed="rId5"/>
        <a:stretch>
          <a:fillRect/>
        </a:stretch>
      </xdr:blipFill>
      <xdr:spPr>
        <a:xfrm>
          <a:off x="15913100" y="5481034"/>
          <a:ext cx="3544957" cy="1148366"/>
        </a:xfrm>
        <a:prstGeom prst="rect">
          <a:avLst/>
        </a:prstGeom>
      </xdr:spPr>
    </xdr:pic>
    <xdr:clientData/>
  </xdr:twoCellAnchor>
  <xdr:twoCellAnchor editAs="oneCell">
    <xdr:from>
      <xdr:col>6</xdr:col>
      <xdr:colOff>736600</xdr:colOff>
      <xdr:row>31</xdr:row>
      <xdr:rowOff>38100</xdr:rowOff>
    </xdr:from>
    <xdr:to>
      <xdr:col>9</xdr:col>
      <xdr:colOff>520700</xdr:colOff>
      <xdr:row>35</xdr:row>
      <xdr:rowOff>180009</xdr:rowOff>
    </xdr:to>
    <xdr:pic>
      <xdr:nvPicPr>
        <xdr:cNvPr id="8" name="Picture 7">
          <a:extLst>
            <a:ext uri="{FF2B5EF4-FFF2-40B4-BE49-F238E27FC236}">
              <a16:creationId xmlns:a16="http://schemas.microsoft.com/office/drawing/2014/main" id="{323FDEC7-77A0-5645-9813-E3096E702807}"/>
            </a:ext>
          </a:extLst>
        </xdr:cNvPr>
        <xdr:cNvPicPr>
          <a:picLocks noChangeAspect="1"/>
        </xdr:cNvPicPr>
      </xdr:nvPicPr>
      <xdr:blipFill>
        <a:blip xmlns:r="http://schemas.openxmlformats.org/officeDocument/2006/relationships" r:embed="rId6"/>
        <a:stretch>
          <a:fillRect/>
        </a:stretch>
      </xdr:blipFill>
      <xdr:spPr>
        <a:xfrm>
          <a:off x="11125200" y="7010400"/>
          <a:ext cx="5067300" cy="954709"/>
        </a:xfrm>
        <a:prstGeom prst="rect">
          <a:avLst/>
        </a:prstGeom>
      </xdr:spPr>
    </xdr:pic>
    <xdr:clientData/>
  </xdr:twoCellAnchor>
  <xdr:twoCellAnchor editAs="oneCell">
    <xdr:from>
      <xdr:col>9</xdr:col>
      <xdr:colOff>482600</xdr:colOff>
      <xdr:row>31</xdr:row>
      <xdr:rowOff>101600</xdr:rowOff>
    </xdr:from>
    <xdr:to>
      <xdr:col>16</xdr:col>
      <xdr:colOff>508000</xdr:colOff>
      <xdr:row>35</xdr:row>
      <xdr:rowOff>196615</xdr:rowOff>
    </xdr:to>
    <xdr:pic>
      <xdr:nvPicPr>
        <xdr:cNvPr id="9" name="Picture 8">
          <a:extLst>
            <a:ext uri="{FF2B5EF4-FFF2-40B4-BE49-F238E27FC236}">
              <a16:creationId xmlns:a16="http://schemas.microsoft.com/office/drawing/2014/main" id="{09AD2A0F-68FB-9841-B5EF-A44CF09F49D4}"/>
            </a:ext>
          </a:extLst>
        </xdr:cNvPr>
        <xdr:cNvPicPr>
          <a:picLocks noChangeAspect="1"/>
        </xdr:cNvPicPr>
      </xdr:nvPicPr>
      <xdr:blipFill>
        <a:blip xmlns:r="http://schemas.openxmlformats.org/officeDocument/2006/relationships" r:embed="rId7"/>
        <a:stretch>
          <a:fillRect/>
        </a:stretch>
      </xdr:blipFill>
      <xdr:spPr>
        <a:xfrm>
          <a:off x="16154400" y="7073900"/>
          <a:ext cx="5803900" cy="907815"/>
        </a:xfrm>
        <a:prstGeom prst="rect">
          <a:avLst/>
        </a:prstGeom>
      </xdr:spPr>
    </xdr:pic>
    <xdr:clientData/>
  </xdr:twoCellAnchor>
  <xdr:twoCellAnchor editAs="oneCell">
    <xdr:from>
      <xdr:col>8</xdr:col>
      <xdr:colOff>88900</xdr:colOff>
      <xdr:row>6</xdr:row>
      <xdr:rowOff>150806</xdr:rowOff>
    </xdr:from>
    <xdr:to>
      <xdr:col>15</xdr:col>
      <xdr:colOff>711200</xdr:colOff>
      <xdr:row>9</xdr:row>
      <xdr:rowOff>221</xdr:rowOff>
    </xdr:to>
    <xdr:pic>
      <xdr:nvPicPr>
        <xdr:cNvPr id="10" name="Picture 9">
          <a:extLst>
            <a:ext uri="{FF2B5EF4-FFF2-40B4-BE49-F238E27FC236}">
              <a16:creationId xmlns:a16="http://schemas.microsoft.com/office/drawing/2014/main" id="{068EF65E-DB5B-8347-8E26-3824221D65A7}"/>
            </a:ext>
          </a:extLst>
        </xdr:cNvPr>
        <xdr:cNvPicPr>
          <a:picLocks noChangeAspect="1"/>
        </xdr:cNvPicPr>
      </xdr:nvPicPr>
      <xdr:blipFill>
        <a:blip xmlns:r="http://schemas.openxmlformats.org/officeDocument/2006/relationships" r:embed="rId8"/>
        <a:stretch>
          <a:fillRect/>
        </a:stretch>
      </xdr:blipFill>
      <xdr:spPr>
        <a:xfrm>
          <a:off x="14795500" y="1370006"/>
          <a:ext cx="6540500" cy="496893"/>
        </a:xfrm>
        <a:prstGeom prst="rect">
          <a:avLst/>
        </a:prstGeom>
      </xdr:spPr>
    </xdr:pic>
    <xdr:clientData/>
  </xdr:twoCellAnchor>
  <xdr:twoCellAnchor editAs="oneCell">
    <xdr:from>
      <xdr:col>8</xdr:col>
      <xdr:colOff>88900</xdr:colOff>
      <xdr:row>8</xdr:row>
      <xdr:rowOff>190500</xdr:rowOff>
    </xdr:from>
    <xdr:to>
      <xdr:col>13</xdr:col>
      <xdr:colOff>647700</xdr:colOff>
      <xdr:row>13</xdr:row>
      <xdr:rowOff>0</xdr:rowOff>
    </xdr:to>
    <xdr:pic>
      <xdr:nvPicPr>
        <xdr:cNvPr id="11" name="Picture 10">
          <a:extLst>
            <a:ext uri="{FF2B5EF4-FFF2-40B4-BE49-F238E27FC236}">
              <a16:creationId xmlns:a16="http://schemas.microsoft.com/office/drawing/2014/main" id="{5E868E52-5987-144D-B96E-A852994ABC92}"/>
            </a:ext>
          </a:extLst>
        </xdr:cNvPr>
        <xdr:cNvPicPr>
          <a:picLocks noChangeAspect="1"/>
        </xdr:cNvPicPr>
      </xdr:nvPicPr>
      <xdr:blipFill>
        <a:blip xmlns:r="http://schemas.openxmlformats.org/officeDocument/2006/relationships" r:embed="rId9"/>
        <a:stretch>
          <a:fillRect/>
        </a:stretch>
      </xdr:blipFill>
      <xdr:spPr>
        <a:xfrm>
          <a:off x="14795500" y="1854200"/>
          <a:ext cx="4826000" cy="825500"/>
        </a:xfrm>
        <a:prstGeom prst="rect">
          <a:avLst/>
        </a:prstGeom>
      </xdr:spPr>
    </xdr:pic>
    <xdr:clientData/>
  </xdr:twoCellAnchor>
  <xdr:twoCellAnchor editAs="oneCell">
    <xdr:from>
      <xdr:col>8</xdr:col>
      <xdr:colOff>127000</xdr:colOff>
      <xdr:row>14</xdr:row>
      <xdr:rowOff>12700</xdr:rowOff>
    </xdr:from>
    <xdr:to>
      <xdr:col>11</xdr:col>
      <xdr:colOff>292100</xdr:colOff>
      <xdr:row>17</xdr:row>
      <xdr:rowOff>59252</xdr:rowOff>
    </xdr:to>
    <xdr:pic>
      <xdr:nvPicPr>
        <xdr:cNvPr id="12" name="Picture 11">
          <a:extLst>
            <a:ext uri="{FF2B5EF4-FFF2-40B4-BE49-F238E27FC236}">
              <a16:creationId xmlns:a16="http://schemas.microsoft.com/office/drawing/2014/main" id="{508C9ADA-9EA0-EE41-862B-3B4189DDE9F5}"/>
            </a:ext>
          </a:extLst>
        </xdr:cNvPr>
        <xdr:cNvPicPr>
          <a:picLocks noChangeAspect="1"/>
        </xdr:cNvPicPr>
      </xdr:nvPicPr>
      <xdr:blipFill>
        <a:blip xmlns:r="http://schemas.openxmlformats.org/officeDocument/2006/relationships" r:embed="rId10"/>
        <a:stretch>
          <a:fillRect/>
        </a:stretch>
      </xdr:blipFill>
      <xdr:spPr>
        <a:xfrm>
          <a:off x="14833600" y="2895600"/>
          <a:ext cx="2781300" cy="656152"/>
        </a:xfrm>
        <a:prstGeom prst="rect">
          <a:avLst/>
        </a:prstGeom>
      </xdr:spPr>
    </xdr:pic>
    <xdr:clientData/>
  </xdr:twoCellAnchor>
  <xdr:twoCellAnchor editAs="oneCell">
    <xdr:from>
      <xdr:col>11</xdr:col>
      <xdr:colOff>444500</xdr:colOff>
      <xdr:row>14</xdr:row>
      <xdr:rowOff>12700</xdr:rowOff>
    </xdr:from>
    <xdr:to>
      <xdr:col>14</xdr:col>
      <xdr:colOff>553434</xdr:colOff>
      <xdr:row>17</xdr:row>
      <xdr:rowOff>88632</xdr:rowOff>
    </xdr:to>
    <xdr:pic>
      <xdr:nvPicPr>
        <xdr:cNvPr id="13" name="Picture 12">
          <a:extLst>
            <a:ext uri="{FF2B5EF4-FFF2-40B4-BE49-F238E27FC236}">
              <a16:creationId xmlns:a16="http://schemas.microsoft.com/office/drawing/2014/main" id="{5B04AB6D-103D-114E-BEFA-BD9EDF6C80AF}"/>
            </a:ext>
          </a:extLst>
        </xdr:cNvPr>
        <xdr:cNvPicPr>
          <a:picLocks noChangeAspect="1"/>
        </xdr:cNvPicPr>
      </xdr:nvPicPr>
      <xdr:blipFill>
        <a:blip xmlns:r="http://schemas.openxmlformats.org/officeDocument/2006/relationships" r:embed="rId11"/>
        <a:stretch>
          <a:fillRect/>
        </a:stretch>
      </xdr:blipFill>
      <xdr:spPr>
        <a:xfrm>
          <a:off x="17767300" y="2895600"/>
          <a:ext cx="2585434" cy="685532"/>
        </a:xfrm>
        <a:prstGeom prst="rect">
          <a:avLst/>
        </a:prstGeom>
      </xdr:spPr>
    </xdr:pic>
    <xdr:clientData/>
  </xdr:twoCellAnchor>
  <xdr:twoCellAnchor editAs="oneCell">
    <xdr:from>
      <xdr:col>6</xdr:col>
      <xdr:colOff>317500</xdr:colOff>
      <xdr:row>37</xdr:row>
      <xdr:rowOff>12700</xdr:rowOff>
    </xdr:from>
    <xdr:to>
      <xdr:col>7</xdr:col>
      <xdr:colOff>1821140</xdr:colOff>
      <xdr:row>40</xdr:row>
      <xdr:rowOff>76200</xdr:rowOff>
    </xdr:to>
    <xdr:pic>
      <xdr:nvPicPr>
        <xdr:cNvPr id="14" name="Picture 13">
          <a:extLst>
            <a:ext uri="{FF2B5EF4-FFF2-40B4-BE49-F238E27FC236}">
              <a16:creationId xmlns:a16="http://schemas.microsoft.com/office/drawing/2014/main" id="{92A2953F-A579-0546-ACFF-B02FCA3C1B62}"/>
            </a:ext>
          </a:extLst>
        </xdr:cNvPr>
        <xdr:cNvPicPr>
          <a:picLocks noChangeAspect="1"/>
        </xdr:cNvPicPr>
      </xdr:nvPicPr>
      <xdr:blipFill>
        <a:blip xmlns:r="http://schemas.openxmlformats.org/officeDocument/2006/relationships" r:embed="rId12"/>
        <a:stretch>
          <a:fillRect/>
        </a:stretch>
      </xdr:blipFill>
      <xdr:spPr>
        <a:xfrm>
          <a:off x="10706100" y="8204200"/>
          <a:ext cx="3675340" cy="673100"/>
        </a:xfrm>
        <a:prstGeom prst="rect">
          <a:avLst/>
        </a:prstGeom>
      </xdr:spPr>
    </xdr:pic>
    <xdr:clientData/>
  </xdr:twoCellAnchor>
  <xdr:twoCellAnchor editAs="oneCell">
    <xdr:from>
      <xdr:col>6</xdr:col>
      <xdr:colOff>330200</xdr:colOff>
      <xdr:row>41</xdr:row>
      <xdr:rowOff>114300</xdr:rowOff>
    </xdr:from>
    <xdr:to>
      <xdr:col>7</xdr:col>
      <xdr:colOff>772911</xdr:colOff>
      <xdr:row>45</xdr:row>
      <xdr:rowOff>12700</xdr:rowOff>
    </xdr:to>
    <xdr:pic>
      <xdr:nvPicPr>
        <xdr:cNvPr id="15" name="Picture 14">
          <a:extLst>
            <a:ext uri="{FF2B5EF4-FFF2-40B4-BE49-F238E27FC236}">
              <a16:creationId xmlns:a16="http://schemas.microsoft.com/office/drawing/2014/main" id="{94E8F90E-A23C-1B47-B1F4-2D2C8E273EEE}"/>
            </a:ext>
          </a:extLst>
        </xdr:cNvPr>
        <xdr:cNvPicPr>
          <a:picLocks noChangeAspect="1"/>
        </xdr:cNvPicPr>
      </xdr:nvPicPr>
      <xdr:blipFill>
        <a:blip xmlns:r="http://schemas.openxmlformats.org/officeDocument/2006/relationships" r:embed="rId13"/>
        <a:stretch>
          <a:fillRect/>
        </a:stretch>
      </xdr:blipFill>
      <xdr:spPr>
        <a:xfrm>
          <a:off x="10718800" y="8915400"/>
          <a:ext cx="2614411" cy="711200"/>
        </a:xfrm>
        <a:prstGeom prst="rect">
          <a:avLst/>
        </a:prstGeom>
      </xdr:spPr>
    </xdr:pic>
    <xdr:clientData/>
  </xdr:twoCellAnchor>
  <xdr:twoCellAnchor>
    <xdr:from>
      <xdr:col>6</xdr:col>
      <xdr:colOff>88900</xdr:colOff>
      <xdr:row>46</xdr:row>
      <xdr:rowOff>165100</xdr:rowOff>
    </xdr:from>
    <xdr:to>
      <xdr:col>8</xdr:col>
      <xdr:colOff>749300</xdr:colOff>
      <xdr:row>50</xdr:row>
      <xdr:rowOff>165100</xdr:rowOff>
    </xdr:to>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14E30538-C6DE-9F4B-9F21-E121E3BFF6A3}"/>
                </a:ext>
              </a:extLst>
            </xdr:cNvPr>
            <xdr:cNvSpPr txBox="1"/>
          </xdr:nvSpPr>
          <xdr:spPr>
            <a:xfrm>
              <a:off x="10477500" y="9982200"/>
              <a:ext cx="4978400" cy="850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𝑂𝑣𝑒𝑟𝑎𝑙𝑙</m:t>
                    </m:r>
                    <m:r>
                      <a:rPr lang="en-US" sz="1100" b="0" i="1">
                        <a:latin typeface="Cambria Math" panose="02040503050406030204" pitchFamily="18" charset="0"/>
                      </a:rPr>
                      <m:t> </m:t>
                    </m:r>
                    <m:r>
                      <a:rPr lang="en-US" sz="1100" b="0" i="1">
                        <a:latin typeface="Cambria Math" panose="02040503050406030204" pitchFamily="18" charset="0"/>
                      </a:rPr>
                      <m:t>𝑅𝑒𝑡𝑢𝑟𝑛</m:t>
                    </m:r>
                    <m:r>
                      <a:rPr lang="en-US" sz="1100" b="0" i="1">
                        <a:latin typeface="Cambria Math" panose="02040503050406030204" pitchFamily="18" charset="0"/>
                      </a:rPr>
                      <m:t>=</m:t>
                    </m:r>
                    <m:sSup>
                      <m:sSupPr>
                        <m:ctrlPr>
                          <a:rPr lang="en-US" sz="1100" i="1">
                            <a:latin typeface="Cambria Math" panose="02040503050406030204" pitchFamily="18" charset="0"/>
                          </a:rPr>
                        </m:ctrlPr>
                      </m:sSupPr>
                      <m:e>
                        <m:d>
                          <m:dPr>
                            <m:ctrlPr>
                              <a:rPr lang="en-US" sz="1100" i="1">
                                <a:latin typeface="Cambria Math" panose="02040503050406030204" pitchFamily="18" charset="0"/>
                              </a:rPr>
                            </m:ctrlPr>
                          </m:dPr>
                          <m:e>
                            <m:f>
                              <m:fPr>
                                <m:ctrlPr>
                                  <a:rPr lang="en-US" sz="1100" i="1">
                                    <a:latin typeface="Cambria Math" panose="02040503050406030204" pitchFamily="18" charset="0"/>
                                  </a:rPr>
                                </m:ctrlPr>
                              </m:fPr>
                              <m:num>
                                <m:r>
                                  <a:rPr lang="en-US" sz="1100" b="0" i="1">
                                    <a:latin typeface="Cambria Math" panose="02040503050406030204" pitchFamily="18" charset="0"/>
                                  </a:rPr>
                                  <m:t>𝑇𝑒𝑟𝑚𝑖𝑛𝑎𝑙</m:t>
                                </m:r>
                                <m:r>
                                  <a:rPr lang="en-US" sz="1100" b="0" i="1">
                                    <a:latin typeface="Cambria Math" panose="02040503050406030204" pitchFamily="18" charset="0"/>
                                  </a:rPr>
                                  <m:t> </m:t>
                                </m:r>
                                <m:r>
                                  <a:rPr lang="en-US" sz="1100" b="0" i="1">
                                    <a:latin typeface="Cambria Math" panose="02040503050406030204" pitchFamily="18" charset="0"/>
                                  </a:rPr>
                                  <m:t>𝐷𝑖𝑠𝑡𝑟𝑖𝑏𝑢𝑡𝑖𝑜𝑛</m:t>
                                </m:r>
                                <m:r>
                                  <a:rPr lang="en-US" sz="1100" b="0" i="1">
                                    <a:latin typeface="Cambria Math" panose="02040503050406030204" pitchFamily="18" charset="0"/>
                                  </a:rPr>
                                  <m:t> </m:t>
                                </m:r>
                                <m:r>
                                  <a:rPr lang="en-US" sz="1100" b="0" i="1">
                                    <a:latin typeface="Cambria Math" panose="02040503050406030204" pitchFamily="18" charset="0"/>
                                  </a:rPr>
                                  <m:t>𝑡𝑜</m:t>
                                </m:r>
                                <m:r>
                                  <a:rPr lang="en-US" sz="1100" b="0" i="1">
                                    <a:latin typeface="Cambria Math" panose="02040503050406030204" pitchFamily="18" charset="0"/>
                                  </a:rPr>
                                  <m:t> </m:t>
                                </m:r>
                                <m:r>
                                  <a:rPr lang="en-US" sz="1100" b="0" i="1">
                                    <a:latin typeface="Cambria Math" panose="02040503050406030204" pitchFamily="18" charset="0"/>
                                  </a:rPr>
                                  <m:t>𝐼𝑛𝑣𝑒𝑠𝑡𝑜𝑟</m:t>
                                </m:r>
                              </m:num>
                              <m:den>
                                <m:r>
                                  <a:rPr lang="en-US" sz="1100" b="0" i="1">
                                    <a:latin typeface="Cambria Math" panose="02040503050406030204" pitchFamily="18" charset="0"/>
                                  </a:rPr>
                                  <m:t>𝐼𝑛𝑣𝑒𝑠𝑡𝑚𝑒𝑛𝑡</m:t>
                                </m:r>
                              </m:den>
                            </m:f>
                          </m:e>
                        </m:d>
                      </m:e>
                      <m:sup>
                        <m:r>
                          <a:rPr lang="en-US" sz="1100" b="0" i="1">
                            <a:latin typeface="Cambria Math" panose="02040503050406030204" pitchFamily="18" charset="0"/>
                          </a:rPr>
                          <m:t>1/</m:t>
                        </m:r>
                        <m:r>
                          <a:rPr lang="en-US" sz="1100" b="0" i="1">
                            <a:latin typeface="Cambria Math" panose="02040503050406030204" pitchFamily="18" charset="0"/>
                          </a:rPr>
                          <m:t>𝑁</m:t>
                        </m:r>
                      </m:sup>
                    </m:sSup>
                    <m:r>
                      <a:rPr lang="en-US" sz="1100" b="0" i="1">
                        <a:latin typeface="Cambria Math" panose="02040503050406030204" pitchFamily="18" charset="0"/>
                      </a:rPr>
                      <m:t>−1</m:t>
                    </m:r>
                  </m:oMath>
                </m:oMathPara>
              </a14:m>
              <a:endParaRPr lang="en-US" sz="1100"/>
            </a:p>
            <a:p>
              <a:endParaRPr lang="en-US" sz="1100"/>
            </a:p>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𝑇𝑒𝑟𝑚𝑖𝑛𝑎𝑙</m:t>
                    </m:r>
                    <m:r>
                      <a:rPr lang="en-US" sz="1100" b="0" i="1">
                        <a:latin typeface="Cambria Math" panose="02040503050406030204" pitchFamily="18" charset="0"/>
                      </a:rPr>
                      <m:t> </m:t>
                    </m:r>
                    <m:r>
                      <a:rPr lang="en-US" sz="1100" b="0" i="1">
                        <a:latin typeface="Cambria Math" panose="02040503050406030204" pitchFamily="18" charset="0"/>
                      </a:rPr>
                      <m:t>𝐷𝑖𝑠𝑡𝑟𝑖𝑏𝑢𝑡𝑖𝑜𝑛</m:t>
                    </m:r>
                    <m:r>
                      <a:rPr lang="en-US" sz="1100" b="0" i="1">
                        <a:latin typeface="Cambria Math" panose="02040503050406030204" pitchFamily="18" charset="0"/>
                      </a:rPr>
                      <m:t> </m:t>
                    </m:r>
                    <m:r>
                      <a:rPr lang="en-US" sz="1100" b="0" i="1">
                        <a:latin typeface="Cambria Math" panose="02040503050406030204" pitchFamily="18" charset="0"/>
                      </a:rPr>
                      <m:t>𝑡𝑜</m:t>
                    </m:r>
                    <m:r>
                      <a:rPr lang="en-US" sz="1100" b="0" i="1">
                        <a:latin typeface="Cambria Math" panose="02040503050406030204" pitchFamily="18" charset="0"/>
                      </a:rPr>
                      <m:t> </m:t>
                    </m:r>
                    <m:r>
                      <a:rPr lang="en-US" sz="1100" b="0" i="1">
                        <a:latin typeface="Cambria Math" panose="02040503050406030204" pitchFamily="18" charset="0"/>
                      </a:rPr>
                      <m:t>𝐼𝑛𝑣𝑒𝑠𝑡𝑜𝑟</m:t>
                    </m:r>
                    <m:r>
                      <a:rPr lang="en-US" sz="1100" b="0" i="0">
                        <a:latin typeface="Cambria Math" panose="02040503050406030204" pitchFamily="18" charset="0"/>
                      </a:rPr>
                      <m:t>=</m:t>
                    </m:r>
                    <m:r>
                      <m:rPr>
                        <m:sty m:val="p"/>
                      </m:rPr>
                      <a:rPr lang="en-US" sz="1100" b="0" i="0">
                        <a:latin typeface="Cambria Math" panose="02040503050406030204" pitchFamily="18" charset="0"/>
                      </a:rPr>
                      <m:t>Terminal</m:t>
                    </m:r>
                    <m:r>
                      <a:rPr lang="en-US" sz="1100" b="0" i="0">
                        <a:latin typeface="Cambria Math" panose="02040503050406030204" pitchFamily="18" charset="0"/>
                      </a:rPr>
                      <m:t> </m:t>
                    </m:r>
                    <m:r>
                      <m:rPr>
                        <m:sty m:val="p"/>
                      </m:rPr>
                      <a:rPr lang="en-US" sz="1100" b="0" i="0">
                        <a:latin typeface="Cambria Math" panose="02040503050406030204" pitchFamily="18" charset="0"/>
                      </a:rPr>
                      <m:t>Price</m:t>
                    </m:r>
                    <m:r>
                      <a:rPr lang="en-US" sz="1100" b="0" i="0">
                        <a:latin typeface="Cambria Math" panose="02040503050406030204" pitchFamily="18" charset="0"/>
                      </a:rPr>
                      <m:t> </m:t>
                    </m:r>
                    <m:r>
                      <m:rPr>
                        <m:sty m:val="p"/>
                      </m:rPr>
                      <a:rPr lang="en-US" sz="1100" b="0" i="0">
                        <a:latin typeface="Cambria Math" panose="02040503050406030204" pitchFamily="18" charset="0"/>
                      </a:rPr>
                      <m:t>per</m:t>
                    </m:r>
                    <m:r>
                      <a:rPr lang="en-US" sz="1100" b="0" i="0">
                        <a:latin typeface="Cambria Math" panose="02040503050406030204" pitchFamily="18" charset="0"/>
                      </a:rPr>
                      <m:t> </m:t>
                    </m:r>
                    <m:r>
                      <m:rPr>
                        <m:sty m:val="p"/>
                      </m:rPr>
                      <a:rPr lang="en-US" sz="1100" b="0" i="0">
                        <a:latin typeface="Cambria Math" panose="02040503050406030204" pitchFamily="18" charset="0"/>
                      </a:rPr>
                      <m:t>Share</m:t>
                    </m:r>
                    <m:r>
                      <a:rPr lang="en-US" sz="1100" b="0" i="1">
                        <a:latin typeface="Cambria Math" panose="02040503050406030204" pitchFamily="18" charset="0"/>
                      </a:rPr>
                      <m:t> </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𝑆h𝑎𝑟𝑒𝑠</m:t>
                    </m:r>
                  </m:oMath>
                </m:oMathPara>
              </a14:m>
              <a:endParaRPr lang="en-US" sz="1100"/>
            </a:p>
          </xdr:txBody>
        </xdr:sp>
      </mc:Choice>
      <mc:Fallback xmlns="">
        <xdr:sp macro="" textlink="">
          <xdr:nvSpPr>
            <xdr:cNvPr id="16" name="TextBox 15">
              <a:extLst>
                <a:ext uri="{FF2B5EF4-FFF2-40B4-BE49-F238E27FC236}">
                  <a16:creationId xmlns:a16="http://schemas.microsoft.com/office/drawing/2014/main" id="{14E30538-C6DE-9F4B-9F21-E121E3BFF6A3}"/>
                </a:ext>
              </a:extLst>
            </xdr:cNvPr>
            <xdr:cNvSpPr txBox="1"/>
          </xdr:nvSpPr>
          <xdr:spPr>
            <a:xfrm>
              <a:off x="10477500" y="9982200"/>
              <a:ext cx="4978400" cy="850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100" b="0" i="0">
                  <a:latin typeface="Cambria Math" panose="02040503050406030204" pitchFamily="18" charset="0"/>
                </a:rPr>
                <a:t>𝑂𝑣𝑒𝑟𝑎𝑙𝑙 𝑅𝑒𝑡𝑢𝑟𝑛=</a:t>
              </a:r>
              <a:r>
                <a:rPr lang="en-US" sz="1100" i="0">
                  <a:latin typeface="Cambria Math" panose="02040503050406030204" pitchFamily="18" charset="0"/>
                </a:rPr>
                <a:t>((</a:t>
              </a:r>
              <a:r>
                <a:rPr lang="en-US" sz="1100" b="0" i="0">
                  <a:latin typeface="Cambria Math" panose="02040503050406030204" pitchFamily="18" charset="0"/>
                </a:rPr>
                <a:t>𝑇𝑒𝑟𝑚𝑖𝑛𝑎𝑙 𝐷𝑖𝑠𝑡𝑟𝑖𝑏𝑢𝑡𝑖𝑜𝑛 𝑡𝑜 𝐼𝑛𝑣𝑒𝑠𝑡𝑜𝑟)/𝐼𝑛𝑣𝑒𝑠𝑡𝑚𝑒𝑛𝑡)^(1/𝑁)−1</a:t>
              </a:r>
              <a:endParaRPr lang="en-US" sz="1100"/>
            </a:p>
            <a:p>
              <a:endParaRPr lang="en-US" sz="1100"/>
            </a:p>
            <a:p>
              <a:pPr/>
              <a:r>
                <a:rPr lang="en-US" sz="1100" b="0" i="0">
                  <a:latin typeface="Cambria Math" panose="02040503050406030204" pitchFamily="18" charset="0"/>
                </a:rPr>
                <a:t>𝑇𝑒𝑟𝑚𝑖𝑛𝑎𝑙 𝐷𝑖𝑠𝑡𝑟𝑖𝑏𝑢𝑡𝑖𝑜𝑛 𝑡𝑜 𝐼𝑛𝑣𝑒𝑠𝑡𝑜𝑟=Terminal Price per Share </a:t>
              </a:r>
              <a:r>
                <a:rPr lang="en-US" sz="1100" b="0" i="0">
                  <a:latin typeface="Cambria Math" panose="02040503050406030204" pitchFamily="18" charset="0"/>
                  <a:ea typeface="Cambria Math" panose="02040503050406030204" pitchFamily="18" charset="0"/>
                </a:rPr>
                <a:t>× #𝑆ℎ𝑎𝑟𝑒𝑠</a:t>
              </a:r>
              <a:endParaRPr lang="en-US" sz="1100"/>
            </a:p>
          </xdr:txBody>
        </xdr:sp>
      </mc:Fallback>
    </mc:AlternateContent>
    <xdr:clientData/>
  </xdr:twoCellAnchor>
  <xdr:twoCellAnchor>
    <xdr:from>
      <xdr:col>0</xdr:col>
      <xdr:colOff>33867</xdr:colOff>
      <xdr:row>56</xdr:row>
      <xdr:rowOff>186266</xdr:rowOff>
    </xdr:from>
    <xdr:to>
      <xdr:col>6</xdr:col>
      <xdr:colOff>1519767</xdr:colOff>
      <xdr:row>59</xdr:row>
      <xdr:rowOff>84666</xdr:rowOff>
    </xdr:to>
    <xdr:sp macro="" textlink="">
      <xdr:nvSpPr>
        <xdr:cNvPr id="17" name="TextBox 16">
          <a:extLst>
            <a:ext uri="{FF2B5EF4-FFF2-40B4-BE49-F238E27FC236}">
              <a16:creationId xmlns:a16="http://schemas.microsoft.com/office/drawing/2014/main" id="{878A2873-A6A4-4540-A1B9-13801CC738BB}"/>
            </a:ext>
          </a:extLst>
        </xdr:cNvPr>
        <xdr:cNvSpPr txBox="1"/>
      </xdr:nvSpPr>
      <xdr:spPr>
        <a:xfrm>
          <a:off x="33867" y="12259733"/>
          <a:ext cx="12069233" cy="5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a:latin typeface="Times New Roman" panose="02020603050405020304" pitchFamily="18" charset="0"/>
              <a:cs typeface="Times New Roman" panose="02020603050405020304" pitchFamily="18" charset="0"/>
            </a:rPr>
            <a:t>Since B and C has extra</a:t>
          </a:r>
          <a:r>
            <a:rPr lang="en-US" sz="1400" baseline="0">
              <a:latin typeface="Times New Roman" panose="02020603050405020304" pitchFamily="18" charset="0"/>
              <a:cs typeface="Times New Roman" panose="02020603050405020304" pitchFamily="18" charset="0"/>
            </a:rPr>
            <a:t> of liquidation preference 1X, they end up with increased IRR than if they just had common shares. </a:t>
          </a:r>
          <a:r>
            <a:rPr lang="en-US" sz="1400">
              <a:latin typeface="Times New Roman" panose="02020603050405020304" pitchFamily="18" charset="0"/>
              <a:cs typeface="Times New Roman" panose="02020603050405020304" pitchFamily="18" charset="0"/>
            </a:rPr>
            <a:t>While  for Series A, founders, and Cathy,</a:t>
          </a:r>
          <a:r>
            <a:rPr lang="en-US" sz="1400" baseline="0">
              <a:latin typeface="Times New Roman" panose="02020603050405020304" pitchFamily="18" charset="0"/>
              <a:cs typeface="Times New Roman" panose="02020603050405020304" pitchFamily="18" charset="0"/>
            </a:rPr>
            <a:t> </a:t>
          </a:r>
          <a:r>
            <a:rPr lang="en-US" sz="1400">
              <a:latin typeface="Times New Roman" panose="02020603050405020304" pitchFamily="18" charset="0"/>
              <a:cs typeface="Times New Roman" panose="02020603050405020304" pitchFamily="18" charset="0"/>
            </a:rPr>
            <a:t>IRRs all go </a:t>
          </a:r>
          <a:r>
            <a:rPr lang="en-US" sz="1400" b="0">
              <a:latin typeface="Times New Roman" panose="02020603050405020304" pitchFamily="18" charset="0"/>
              <a:cs typeface="Times New Roman" panose="02020603050405020304" pitchFamily="18" charset="0"/>
            </a:rPr>
            <a:t>down</a:t>
          </a:r>
          <a:r>
            <a:rPr lang="en-US" sz="1400">
              <a:latin typeface="Times New Roman" panose="02020603050405020304" pitchFamily="18" charset="0"/>
              <a:cs typeface="Times New Roman" panose="02020603050405020304" pitchFamily="18" charset="0"/>
            </a:rPr>
            <a:t> compared to Q4's</a:t>
          </a:r>
          <a:r>
            <a:rPr lang="en-US" sz="1400" baseline="0">
              <a:latin typeface="Times New Roman" panose="02020603050405020304" pitchFamily="18" charset="0"/>
              <a:cs typeface="Times New Roman" panose="02020603050405020304" pitchFamily="18" charset="0"/>
            </a:rPr>
            <a:t> </a:t>
          </a:r>
          <a:r>
            <a:rPr lang="en-US" sz="1400">
              <a:latin typeface="Times New Roman" panose="02020603050405020304" pitchFamily="18" charset="0"/>
              <a:cs typeface="Times New Roman" panose="02020603050405020304" pitchFamily="18" charset="0"/>
            </a:rPr>
            <a:t>scenario.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6017E-3643-CF48-8CE1-3F3AE5F9737A}">
  <sheetPr>
    <pageSetUpPr fitToPage="1"/>
  </sheetPr>
  <dimension ref="A1:G29"/>
  <sheetViews>
    <sheetView topLeftCell="A16" zoomScale="157" zoomScaleNormal="200" workbookViewId="0">
      <selection activeCell="A33" sqref="A33"/>
    </sheetView>
  </sheetViews>
  <sheetFormatPr baseColWidth="10" defaultColWidth="8.83203125" defaultRowHeight="14" x14ac:dyDescent="0.15"/>
  <cols>
    <col min="1" max="1" width="24.5" style="5" bestFit="1" customWidth="1"/>
    <col min="2" max="4" width="19.5" style="5" bestFit="1" customWidth="1"/>
    <col min="5" max="5" width="12.1640625" style="5" bestFit="1" customWidth="1"/>
    <col min="6" max="6" width="10.5" style="5" bestFit="1" customWidth="1"/>
    <col min="7" max="7" width="12.1640625" style="5" bestFit="1" customWidth="1"/>
    <col min="8" max="8" width="18.5" style="5" bestFit="1" customWidth="1"/>
    <col min="9" max="9" width="14.5" style="5" bestFit="1" customWidth="1"/>
    <col min="10" max="16384" width="8.83203125" style="5"/>
  </cols>
  <sheetData>
    <row r="1" spans="1:7" x14ac:dyDescent="0.15">
      <c r="A1" s="10"/>
    </row>
    <row r="2" spans="1:7" ht="17" x14ac:dyDescent="0.3">
      <c r="A2" s="6" t="s">
        <v>14</v>
      </c>
      <c r="B2" s="7" t="s">
        <v>1</v>
      </c>
      <c r="C2" s="7" t="s">
        <v>2</v>
      </c>
      <c r="D2" s="7" t="s">
        <v>3</v>
      </c>
      <c r="E2" s="8"/>
      <c r="G2" s="8"/>
    </row>
    <row r="3" spans="1:7" x14ac:dyDescent="0.15">
      <c r="A3" s="9" t="s">
        <v>7</v>
      </c>
      <c r="B3" s="13">
        <v>30000</v>
      </c>
      <c r="C3" s="14">
        <v>350000</v>
      </c>
      <c r="D3" s="15">
        <f>B3/C3</f>
        <v>8.5714285714285715E-2</v>
      </c>
      <c r="E3" s="16"/>
      <c r="G3" s="16"/>
    </row>
    <row r="4" spans="1:7" x14ac:dyDescent="0.15">
      <c r="A4" s="9" t="s">
        <v>8</v>
      </c>
      <c r="B4" s="13">
        <v>10000</v>
      </c>
      <c r="C4" s="14">
        <v>75000</v>
      </c>
      <c r="D4" s="15">
        <f>B4/C4</f>
        <v>0.13333333333333333</v>
      </c>
      <c r="E4" s="16"/>
      <c r="G4" s="16"/>
    </row>
    <row r="5" spans="1:7" x14ac:dyDescent="0.15">
      <c r="A5" s="9" t="s">
        <v>9</v>
      </c>
      <c r="B5" s="17">
        <v>10000</v>
      </c>
      <c r="C5" s="14">
        <v>75000</v>
      </c>
      <c r="D5" s="15">
        <f>B5/C5</f>
        <v>0.13333333333333333</v>
      </c>
      <c r="E5" s="16"/>
      <c r="G5" s="16"/>
    </row>
    <row r="6" spans="1:7" x14ac:dyDescent="0.15">
      <c r="A6" s="9" t="s">
        <v>5</v>
      </c>
      <c r="B6" s="13">
        <f>SUM(B3:B5)</f>
        <v>50000</v>
      </c>
      <c r="C6" s="14">
        <f>SUM(C3:C5)</f>
        <v>500000</v>
      </c>
      <c r="D6" s="9"/>
    </row>
    <row r="8" spans="1:7" x14ac:dyDescent="0.15">
      <c r="A8" s="10" t="s">
        <v>15</v>
      </c>
    </row>
    <row r="9" spans="1:7" x14ac:dyDescent="0.15">
      <c r="A9" s="5" t="s">
        <v>1</v>
      </c>
      <c r="B9" s="18">
        <v>400000</v>
      </c>
      <c r="C9" s="18"/>
      <c r="E9" s="18"/>
      <c r="G9" s="18"/>
    </row>
    <row r="10" spans="1:7" x14ac:dyDescent="0.15">
      <c r="A10" s="11" t="s">
        <v>10</v>
      </c>
      <c r="B10" s="2"/>
    </row>
    <row r="11" spans="1:7" x14ac:dyDescent="0.15">
      <c r="A11" s="11" t="s">
        <v>44</v>
      </c>
      <c r="B11" s="2"/>
    </row>
    <row r="12" spans="1:7" x14ac:dyDescent="0.15">
      <c r="A12" s="11" t="s">
        <v>11</v>
      </c>
    </row>
    <row r="13" spans="1:7" x14ac:dyDescent="0.15">
      <c r="A13" s="11" t="s">
        <v>12</v>
      </c>
    </row>
    <row r="14" spans="1:7" x14ac:dyDescent="0.15">
      <c r="A14" s="11" t="s">
        <v>16</v>
      </c>
    </row>
    <row r="16" spans="1:7" x14ac:dyDescent="0.15">
      <c r="A16" s="10" t="s">
        <v>25</v>
      </c>
    </row>
    <row r="17" spans="1:7" x14ac:dyDescent="0.15">
      <c r="A17" s="9" t="s">
        <v>20</v>
      </c>
      <c r="B17" s="6" t="s">
        <v>13</v>
      </c>
      <c r="C17" s="6" t="s">
        <v>19</v>
      </c>
      <c r="D17" s="6" t="s">
        <v>18</v>
      </c>
    </row>
    <row r="18" spans="1:7" x14ac:dyDescent="0.15">
      <c r="A18" s="9" t="s">
        <v>32</v>
      </c>
      <c r="B18" s="13">
        <v>1500000</v>
      </c>
      <c r="C18" s="13">
        <v>7000000</v>
      </c>
      <c r="D18" s="20">
        <v>8500000</v>
      </c>
      <c r="E18" s="18"/>
      <c r="G18" s="18"/>
    </row>
    <row r="19" spans="1:7" ht="45" x14ac:dyDescent="0.15">
      <c r="A19" s="21" t="s">
        <v>21</v>
      </c>
      <c r="B19" s="22" t="s">
        <v>23</v>
      </c>
      <c r="C19" s="22" t="s">
        <v>22</v>
      </c>
      <c r="D19" s="21" t="s">
        <v>24</v>
      </c>
      <c r="E19" s="18"/>
      <c r="G19" s="18"/>
    </row>
    <row r="20" spans="1:7" x14ac:dyDescent="0.15">
      <c r="A20" s="9" t="s">
        <v>31</v>
      </c>
      <c r="B20" s="23">
        <v>0.5</v>
      </c>
      <c r="C20" s="24">
        <v>0.4</v>
      </c>
      <c r="D20" s="24">
        <v>0.3</v>
      </c>
      <c r="E20" s="12"/>
      <c r="G20" s="12"/>
    </row>
    <row r="21" spans="1:7" x14ac:dyDescent="0.15">
      <c r="A21" s="9" t="s">
        <v>17</v>
      </c>
      <c r="B21" s="25">
        <v>5</v>
      </c>
      <c r="C21" s="25">
        <v>3</v>
      </c>
      <c r="D21" s="9">
        <f>2030-2028</f>
        <v>2</v>
      </c>
      <c r="E21" s="18"/>
      <c r="G21" s="18"/>
    </row>
    <row r="22" spans="1:7" x14ac:dyDescent="0.15">
      <c r="B22" s="19"/>
      <c r="C22" s="18"/>
      <c r="E22" s="18"/>
      <c r="G22" s="18"/>
    </row>
    <row r="23" spans="1:7" x14ac:dyDescent="0.15">
      <c r="A23" s="10" t="s">
        <v>26</v>
      </c>
      <c r="B23" s="11"/>
    </row>
    <row r="24" spans="1:7" x14ac:dyDescent="0.15">
      <c r="A24" s="9" t="s">
        <v>29</v>
      </c>
      <c r="B24" s="13">
        <v>750000</v>
      </c>
    </row>
    <row r="25" spans="1:7" x14ac:dyDescent="0.15">
      <c r="A25" s="9" t="s">
        <v>30</v>
      </c>
      <c r="B25" s="13">
        <f>6.5*10000000</f>
        <v>65000000</v>
      </c>
    </row>
    <row r="26" spans="1:7" x14ac:dyDescent="0.15">
      <c r="A26" s="9" t="s">
        <v>27</v>
      </c>
      <c r="B26" s="9">
        <v>14</v>
      </c>
    </row>
    <row r="29" spans="1:7" x14ac:dyDescent="0.15">
      <c r="A29" s="5" t="s">
        <v>6</v>
      </c>
    </row>
  </sheetData>
  <pageMargins left="0.7" right="0.7" top="0.75" bottom="0.75" header="0.3" footer="0.3"/>
  <pageSetup scale="84" orientation="landscape"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9F835-626D-2940-8045-5565D1665218}">
  <dimension ref="A8:P71"/>
  <sheetViews>
    <sheetView topLeftCell="A48" zoomScale="91" workbookViewId="0">
      <selection activeCell="E79" sqref="E79"/>
    </sheetView>
  </sheetViews>
  <sheetFormatPr baseColWidth="10" defaultRowHeight="16" x14ac:dyDescent="0.2"/>
  <cols>
    <col min="1" max="1" width="33.5" style="26" bestFit="1" customWidth="1"/>
    <col min="2" max="2" width="18.6640625" style="26" customWidth="1"/>
    <col min="3" max="3" width="20.33203125" style="26" bestFit="1" customWidth="1"/>
    <col min="4" max="4" width="20.1640625" style="26" bestFit="1" customWidth="1"/>
    <col min="5" max="5" width="20.33203125" style="26" bestFit="1" customWidth="1"/>
    <col min="6" max="6" width="28.5" style="26" customWidth="1"/>
    <col min="7" max="7" width="28.1640625" style="26" customWidth="1"/>
    <col min="8" max="8" width="12.6640625" style="26" bestFit="1" customWidth="1"/>
    <col min="9" max="16384" width="10.83203125" style="26"/>
  </cols>
  <sheetData>
    <row r="8" spans="1:9" s="31" customFormat="1" ht="19" x14ac:dyDescent="0.35">
      <c r="A8" s="55" t="s">
        <v>14</v>
      </c>
      <c r="B8" s="56" t="s">
        <v>1</v>
      </c>
      <c r="C8" s="56" t="s">
        <v>2</v>
      </c>
      <c r="D8" s="56" t="s">
        <v>3</v>
      </c>
      <c r="F8" s="30" t="s">
        <v>15</v>
      </c>
      <c r="H8" s="26"/>
      <c r="I8" s="26"/>
    </row>
    <row r="9" spans="1:9" s="31" customFormat="1" x14ac:dyDescent="0.2">
      <c r="A9" s="32" t="s">
        <v>7</v>
      </c>
      <c r="B9" s="46">
        <v>30000</v>
      </c>
      <c r="C9" s="47">
        <v>350000</v>
      </c>
      <c r="D9" s="70">
        <f>B9/C9</f>
        <v>8.5714285714285715E-2</v>
      </c>
      <c r="F9" s="33" t="s">
        <v>51</v>
      </c>
      <c r="G9" s="54">
        <v>400000</v>
      </c>
    </row>
    <row r="10" spans="1:9" s="31" customFormat="1" x14ac:dyDescent="0.2">
      <c r="A10" s="32" t="s">
        <v>8</v>
      </c>
      <c r="B10" s="46">
        <v>10000</v>
      </c>
      <c r="C10" s="47">
        <v>75000</v>
      </c>
      <c r="D10" s="70">
        <f t="shared" ref="D10:D11" si="0">B10/C10</f>
        <v>0.13333333333333333</v>
      </c>
      <c r="F10" s="33" t="s">
        <v>45</v>
      </c>
      <c r="G10" s="54">
        <v>1000000</v>
      </c>
    </row>
    <row r="11" spans="1:9" s="31" customFormat="1" x14ac:dyDescent="0.2">
      <c r="A11" s="32" t="s">
        <v>9</v>
      </c>
      <c r="B11" s="46">
        <v>10000</v>
      </c>
      <c r="C11" s="47">
        <v>75000</v>
      </c>
      <c r="D11" s="70">
        <f t="shared" si="0"/>
        <v>0.13333333333333333</v>
      </c>
      <c r="F11" s="33" t="s">
        <v>42</v>
      </c>
      <c r="G11" s="50">
        <v>0.2</v>
      </c>
    </row>
    <row r="12" spans="1:9" s="31" customFormat="1" x14ac:dyDescent="0.2">
      <c r="A12" s="32" t="s">
        <v>5</v>
      </c>
      <c r="B12" s="39">
        <f>SUM(B9:B11)</f>
        <v>50000</v>
      </c>
      <c r="C12" s="45">
        <f>SUM(C9:C11)</f>
        <v>500000</v>
      </c>
      <c r="D12" s="32"/>
      <c r="F12" s="33" t="s">
        <v>43</v>
      </c>
      <c r="G12" s="46">
        <v>4000000</v>
      </c>
    </row>
    <row r="13" spans="1:9" s="31" customFormat="1" x14ac:dyDescent="0.2">
      <c r="C13" s="3"/>
      <c r="D13" s="4"/>
      <c r="F13" s="33" t="s">
        <v>46</v>
      </c>
      <c r="G13" s="58" t="str">
        <f>IF(G10&lt;C23,"YES","NO")</f>
        <v>YES</v>
      </c>
    </row>
    <row r="14" spans="1:9" x14ac:dyDescent="0.2">
      <c r="A14" s="34" t="s">
        <v>26</v>
      </c>
      <c r="B14" s="34"/>
      <c r="C14" s="27"/>
      <c r="F14" s="29" t="s">
        <v>50</v>
      </c>
      <c r="G14" s="59">
        <f>C36*(1-G11)</f>
        <v>4849922.6337448554</v>
      </c>
      <c r="H14" s="31"/>
      <c r="I14" s="31"/>
    </row>
    <row r="15" spans="1:9" x14ac:dyDescent="0.2">
      <c r="A15" s="41" t="s">
        <v>29</v>
      </c>
      <c r="B15" s="46">
        <v>750000</v>
      </c>
      <c r="F15" s="29" t="s">
        <v>49</v>
      </c>
      <c r="G15" s="66">
        <f>MIN(G14,G12)</f>
        <v>4000000</v>
      </c>
      <c r="H15" s="27" t="s">
        <v>47</v>
      </c>
    </row>
    <row r="16" spans="1:9" x14ac:dyDescent="0.2">
      <c r="A16" s="42" t="s">
        <v>30</v>
      </c>
      <c r="B16" s="46">
        <v>6500000</v>
      </c>
      <c r="F16" s="33" t="s">
        <v>48</v>
      </c>
      <c r="G16" s="63">
        <f>G9/G15</f>
        <v>0.1</v>
      </c>
    </row>
    <row r="17" spans="1:16" x14ac:dyDescent="0.2">
      <c r="A17" s="42" t="s">
        <v>27</v>
      </c>
      <c r="B17" s="67">
        <v>14</v>
      </c>
      <c r="F17" s="29" t="s">
        <v>52</v>
      </c>
      <c r="G17" s="61">
        <f>G16/(1-G16)*C12</f>
        <v>55555.555555555562</v>
      </c>
    </row>
    <row r="18" spans="1:16" x14ac:dyDescent="0.2">
      <c r="A18" s="35" t="s">
        <v>28</v>
      </c>
      <c r="B18" s="39">
        <f>B17*B16</f>
        <v>91000000</v>
      </c>
      <c r="F18" s="29" t="s">
        <v>54</v>
      </c>
      <c r="G18" s="62">
        <f>G9/G17</f>
        <v>7.1999999999999993</v>
      </c>
    </row>
    <row r="20" spans="1:16" ht="23" x14ac:dyDescent="0.25">
      <c r="A20" s="81" t="s">
        <v>69</v>
      </c>
    </row>
    <row r="21" spans="1:16" x14ac:dyDescent="0.2">
      <c r="A21" s="30" t="s">
        <v>25</v>
      </c>
      <c r="B21" s="30"/>
      <c r="C21" s="31"/>
      <c r="D21" s="31"/>
      <c r="E21" s="31"/>
      <c r="F21" s="31"/>
      <c r="G21" s="31"/>
      <c r="H21" s="31"/>
      <c r="I21" s="31"/>
      <c r="J21" s="31"/>
      <c r="K21" s="31"/>
      <c r="L21" s="31"/>
      <c r="M21" s="31"/>
      <c r="N21" s="31"/>
      <c r="O21" s="31"/>
      <c r="P21" s="31"/>
    </row>
    <row r="22" spans="1:16" ht="24" customHeight="1" x14ac:dyDescent="0.2">
      <c r="A22" s="57" t="s">
        <v>20</v>
      </c>
      <c r="B22" s="57" t="s">
        <v>53</v>
      </c>
      <c r="C22" s="57" t="s">
        <v>13</v>
      </c>
      <c r="D22" s="57" t="s">
        <v>19</v>
      </c>
      <c r="E22" s="57" t="s">
        <v>18</v>
      </c>
      <c r="F22" s="31"/>
      <c r="G22" s="31"/>
      <c r="H22" s="31"/>
      <c r="I22" s="31"/>
      <c r="J22" s="31"/>
      <c r="K22" s="31"/>
      <c r="L22" s="31"/>
      <c r="M22" s="31"/>
      <c r="N22" s="31"/>
      <c r="O22" s="31"/>
      <c r="P22" s="31"/>
    </row>
    <row r="23" spans="1:16" x14ac:dyDescent="0.2">
      <c r="A23" s="33" t="s">
        <v>32</v>
      </c>
      <c r="B23" s="54">
        <v>400000</v>
      </c>
      <c r="C23" s="46">
        <v>1500000</v>
      </c>
      <c r="D23" s="46">
        <v>7000000</v>
      </c>
      <c r="E23" s="46">
        <v>8500000</v>
      </c>
      <c r="F23" s="1"/>
      <c r="H23" s="1"/>
      <c r="I23" s="27" t="s">
        <v>36</v>
      </c>
      <c r="J23" s="31"/>
      <c r="K23" s="31"/>
      <c r="L23" s="31"/>
      <c r="M23" s="31"/>
      <c r="N23" s="31"/>
      <c r="O23" s="31"/>
      <c r="P23" s="31"/>
    </row>
    <row r="24" spans="1:16" ht="51" x14ac:dyDescent="0.2">
      <c r="A24" s="37" t="s">
        <v>21</v>
      </c>
      <c r="B24" s="37" t="s">
        <v>0</v>
      </c>
      <c r="C24" s="48" t="s">
        <v>23</v>
      </c>
      <c r="D24" s="48" t="s">
        <v>22</v>
      </c>
      <c r="E24" s="49" t="s">
        <v>24</v>
      </c>
      <c r="F24" s="1"/>
      <c r="G24" s="31"/>
      <c r="H24" s="1"/>
      <c r="I24" s="31"/>
      <c r="J24" s="31"/>
      <c r="K24" s="31"/>
      <c r="L24" s="31"/>
      <c r="M24" s="31"/>
      <c r="N24" s="31"/>
      <c r="O24" s="31"/>
      <c r="P24" s="31"/>
    </row>
    <row r="25" spans="1:16" x14ac:dyDescent="0.2">
      <c r="A25" s="33" t="s">
        <v>31</v>
      </c>
      <c r="B25" s="33" t="s">
        <v>0</v>
      </c>
      <c r="C25" s="50">
        <v>0.5</v>
      </c>
      <c r="D25" s="51">
        <v>0.4</v>
      </c>
      <c r="E25" s="51">
        <v>0.3</v>
      </c>
      <c r="F25" s="36"/>
      <c r="G25" s="27"/>
      <c r="H25" s="36"/>
      <c r="I25" s="31"/>
      <c r="J25" s="31"/>
      <c r="K25" s="31"/>
      <c r="L25" s="31"/>
      <c r="M25" s="31"/>
      <c r="N25" s="31"/>
      <c r="O25" s="31"/>
      <c r="P25" s="31"/>
    </row>
    <row r="26" spans="1:16" x14ac:dyDescent="0.2">
      <c r="A26" s="33" t="s">
        <v>33</v>
      </c>
      <c r="B26" s="33" t="s">
        <v>0</v>
      </c>
      <c r="C26" s="52">
        <v>5</v>
      </c>
      <c r="D26" s="52">
        <v>3</v>
      </c>
      <c r="E26" s="53">
        <f>2030-2028</f>
        <v>2</v>
      </c>
      <c r="F26" s="1"/>
      <c r="G26" s="31"/>
      <c r="H26" s="1"/>
      <c r="I26" s="31"/>
      <c r="J26" s="31"/>
      <c r="K26" s="31"/>
      <c r="L26" s="31"/>
      <c r="M26" s="31"/>
      <c r="N26" s="31"/>
      <c r="O26" s="31"/>
      <c r="P26" s="31"/>
    </row>
    <row r="27" spans="1:16" x14ac:dyDescent="0.2">
      <c r="A27" s="33" t="s">
        <v>34</v>
      </c>
      <c r="B27" s="33" t="s">
        <v>0</v>
      </c>
      <c r="C27" s="39">
        <f>C23*(1+C25)^C26</f>
        <v>11390625</v>
      </c>
      <c r="D27" s="39">
        <f t="shared" ref="D27:E27" si="1">D23*(1+D25)^D26</f>
        <v>19207999.999999996</v>
      </c>
      <c r="E27" s="39">
        <f t="shared" si="1"/>
        <v>14365000.000000002</v>
      </c>
    </row>
    <row r="28" spans="1:16" x14ac:dyDescent="0.2">
      <c r="A28" s="29" t="s">
        <v>75</v>
      </c>
      <c r="B28" s="29" t="s">
        <v>0</v>
      </c>
      <c r="C28" s="73">
        <f>C27/$B$18</f>
        <v>0.1251717032967033</v>
      </c>
      <c r="D28" s="73">
        <f>D27/$B$18</f>
        <v>0.21107692307692302</v>
      </c>
      <c r="E28" s="73">
        <f>E27/$B$18</f>
        <v>0.15785714285714289</v>
      </c>
    </row>
    <row r="29" spans="1:16" x14ac:dyDescent="0.2">
      <c r="A29" s="29" t="s">
        <v>39</v>
      </c>
      <c r="B29" s="29" t="s">
        <v>0</v>
      </c>
      <c r="C29" s="73">
        <f>1-D28-E28</f>
        <v>0.63106593406593403</v>
      </c>
      <c r="D29" s="73">
        <f>1-E28</f>
        <v>0.84214285714285708</v>
      </c>
      <c r="E29" s="40">
        <f>1</f>
        <v>1</v>
      </c>
    </row>
    <row r="30" spans="1:16" x14ac:dyDescent="0.2">
      <c r="A30" s="78" t="s">
        <v>40</v>
      </c>
      <c r="B30" s="65">
        <f>G16</f>
        <v>0.1</v>
      </c>
      <c r="C30" s="75">
        <f>C28/C29</f>
        <v>0.19834964389572851</v>
      </c>
      <c r="D30" s="75">
        <f t="shared" ref="D30:E30" si="2">D28/D29</f>
        <v>0.25064265674952696</v>
      </c>
      <c r="E30" s="75">
        <f t="shared" si="2"/>
        <v>0.15785714285714289</v>
      </c>
    </row>
    <row r="31" spans="1:16" x14ac:dyDescent="0.2">
      <c r="A31" s="29" t="s">
        <v>55</v>
      </c>
      <c r="B31" s="26" t="s">
        <v>0</v>
      </c>
      <c r="C31" s="71">
        <f>C30/(1-C30)*$C$12</f>
        <v>123713.31365686376</v>
      </c>
      <c r="D31" s="71">
        <f>D30/(1-D30)*($C$12+C31)</f>
        <v>208617.64202763577</v>
      </c>
      <c r="E31" s="71">
        <f>E30/(1-E30)*($C$12+C31+D31)</f>
        <v>156017.93147266706</v>
      </c>
      <c r="F31" s="27" t="s">
        <v>41</v>
      </c>
    </row>
    <row r="32" spans="1:16" x14ac:dyDescent="0.2">
      <c r="A32" s="29" t="s">
        <v>57</v>
      </c>
      <c r="B32" s="28" t="s">
        <v>0</v>
      </c>
      <c r="C32" s="43">
        <f>C23/C31</f>
        <v>12.124806584362137</v>
      </c>
      <c r="D32" s="43">
        <f>D23/D31</f>
        <v>33.554209183673464</v>
      </c>
      <c r="E32" s="43">
        <f>E23/E31</f>
        <v>54.480917159763294</v>
      </c>
    </row>
    <row r="33" spans="1:6" x14ac:dyDescent="0.2">
      <c r="A33" s="78" t="s">
        <v>56</v>
      </c>
      <c r="B33" s="72">
        <f>G17</f>
        <v>55555.555555555562</v>
      </c>
      <c r="C33" s="76">
        <f>C30/(1-C30)*($C$12+B33)</f>
        <v>137459.23739651527</v>
      </c>
      <c r="D33" s="76">
        <f>D30/(1-D30)*($C$12+B33+C33)</f>
        <v>231797.38003070635</v>
      </c>
      <c r="E33" s="76">
        <f>E30/(1-E30)*($C$12+B33+C33+D33)</f>
        <v>173353.25719185223</v>
      </c>
      <c r="F33" s="27"/>
    </row>
    <row r="34" spans="1:6" x14ac:dyDescent="0.2">
      <c r="A34" s="78" t="s">
        <v>58</v>
      </c>
      <c r="B34" s="60">
        <f>B23/B33</f>
        <v>7.1999999999999993</v>
      </c>
      <c r="C34" s="77">
        <f>C23/C33</f>
        <v>10.912325925925925</v>
      </c>
      <c r="D34" s="77">
        <f t="shared" ref="D34:E34" si="3">D23/D33</f>
        <v>30.198788265306128</v>
      </c>
      <c r="E34" s="77">
        <f t="shared" si="3"/>
        <v>49.032825443786976</v>
      </c>
      <c r="F34" s="27"/>
    </row>
    <row r="35" spans="1:6" x14ac:dyDescent="0.2">
      <c r="A35" s="78" t="s">
        <v>38</v>
      </c>
      <c r="B35" s="66">
        <f>G15</f>
        <v>4000000</v>
      </c>
      <c r="C35" s="77">
        <f>C23/C30</f>
        <v>7562403.292181069</v>
      </c>
      <c r="D35" s="77">
        <f>D23/D30</f>
        <v>27928206.997084551</v>
      </c>
      <c r="E35" s="77">
        <f>E23/E30</f>
        <v>53846153.846153833</v>
      </c>
    </row>
    <row r="36" spans="1:6" x14ac:dyDescent="0.2">
      <c r="A36" s="78" t="s">
        <v>37</v>
      </c>
      <c r="B36" s="66">
        <f>B35-B23</f>
        <v>3600000</v>
      </c>
      <c r="C36" s="77">
        <f>C35-C23</f>
        <v>6062403.292181069</v>
      </c>
      <c r="D36" s="77">
        <f>D35-D23</f>
        <v>20928206.997084551</v>
      </c>
      <c r="E36" s="77">
        <f>E35-E23</f>
        <v>45346153.846153833</v>
      </c>
    </row>
    <row r="39" spans="1:6" x14ac:dyDescent="0.2">
      <c r="A39" s="29" t="s">
        <v>61</v>
      </c>
      <c r="B39" s="74">
        <f>SUM(B33:E33,C12)</f>
        <v>1098165.4301746294</v>
      </c>
    </row>
    <row r="40" spans="1:6" x14ac:dyDescent="0.2">
      <c r="A40" s="29" t="s">
        <v>59</v>
      </c>
      <c r="B40" s="69">
        <f>B18/B39</f>
        <v>82.865475000000004</v>
      </c>
    </row>
    <row r="41" spans="1:6" x14ac:dyDescent="0.2">
      <c r="A41" s="29" t="s">
        <v>60</v>
      </c>
      <c r="B41" s="28"/>
      <c r="C41" s="64">
        <f>($B$40/C34)^(1/C26)-1</f>
        <v>0.5</v>
      </c>
      <c r="D41" s="64">
        <f>($B$40/D34)^(1/D26)-1</f>
        <v>0.39999999999999991</v>
      </c>
      <c r="E41" s="64">
        <f>($B$40/E34)^(1/E26)-1</f>
        <v>0.30000000000000004</v>
      </c>
    </row>
    <row r="42" spans="1:6" x14ac:dyDescent="0.2">
      <c r="A42" s="27" t="s">
        <v>62</v>
      </c>
    </row>
    <row r="49" spans="1:9" ht="23" x14ac:dyDescent="0.25">
      <c r="A49" s="81" t="s">
        <v>70</v>
      </c>
    </row>
    <row r="50" spans="1:9" x14ac:dyDescent="0.2">
      <c r="A50" s="34" t="s">
        <v>65</v>
      </c>
    </row>
    <row r="51" spans="1:9" x14ac:dyDescent="0.2">
      <c r="A51" s="26" t="s">
        <v>67</v>
      </c>
      <c r="B51" s="79">
        <v>6</v>
      </c>
    </row>
    <row r="52" spans="1:9" ht="19" x14ac:dyDescent="0.35">
      <c r="A52" s="55" t="s">
        <v>66</v>
      </c>
      <c r="B52" s="56" t="s">
        <v>1</v>
      </c>
      <c r="C52" s="56" t="s">
        <v>2</v>
      </c>
      <c r="D52" s="56" t="s">
        <v>64</v>
      </c>
      <c r="E52" s="56" t="s">
        <v>68</v>
      </c>
      <c r="I52" s="44"/>
    </row>
    <row r="53" spans="1:9" x14ac:dyDescent="0.2">
      <c r="A53" s="32" t="s">
        <v>7</v>
      </c>
      <c r="B53" s="46">
        <v>30000</v>
      </c>
      <c r="C53" s="47">
        <v>350000</v>
      </c>
      <c r="D53" s="80">
        <f>$B$40*C53</f>
        <v>29002916.25</v>
      </c>
      <c r="E53" s="75">
        <f>(D53/B53)^(1/$B$51)-1</f>
        <v>2.1445130562986927</v>
      </c>
    </row>
    <row r="54" spans="1:9" x14ac:dyDescent="0.2">
      <c r="A54" s="32" t="s">
        <v>8</v>
      </c>
      <c r="B54" s="46">
        <v>10000</v>
      </c>
      <c r="C54" s="47">
        <v>75000</v>
      </c>
      <c r="D54" s="80">
        <f t="shared" ref="D54:D56" si="4">$B$40*C54</f>
        <v>6214910.625</v>
      </c>
      <c r="E54" s="75">
        <f t="shared" ref="E54:E56" si="5">(D54/B54)^(1/$B$51)-1</f>
        <v>1.9212752636103287</v>
      </c>
    </row>
    <row r="55" spans="1:9" x14ac:dyDescent="0.2">
      <c r="A55" s="32" t="s">
        <v>9</v>
      </c>
      <c r="B55" s="46">
        <v>10000</v>
      </c>
      <c r="C55" s="47">
        <v>75000</v>
      </c>
      <c r="D55" s="80">
        <f t="shared" si="4"/>
        <v>6214910.625</v>
      </c>
      <c r="E55" s="75">
        <f t="shared" si="5"/>
        <v>1.9212752636103287</v>
      </c>
    </row>
    <row r="56" spans="1:9" x14ac:dyDescent="0.2">
      <c r="A56" s="32" t="s">
        <v>63</v>
      </c>
      <c r="B56" s="54">
        <v>400000</v>
      </c>
      <c r="C56" s="68">
        <f>B33</f>
        <v>55555.555555555562</v>
      </c>
      <c r="D56" s="80">
        <f t="shared" si="4"/>
        <v>4603637.5000000009</v>
      </c>
      <c r="E56" s="75">
        <f t="shared" si="5"/>
        <v>0.50258894041249391</v>
      </c>
    </row>
    <row r="65" spans="1:3" ht="23" x14ac:dyDescent="0.25">
      <c r="A65" s="81" t="s">
        <v>71</v>
      </c>
    </row>
    <row r="66" spans="1:3" x14ac:dyDescent="0.2">
      <c r="A66" s="41" t="s">
        <v>32</v>
      </c>
      <c r="B66" s="46">
        <v>17000000</v>
      </c>
    </row>
    <row r="67" spans="1:3" x14ac:dyDescent="0.2">
      <c r="A67" s="42" t="s">
        <v>72</v>
      </c>
      <c r="B67" s="82">
        <v>0.5</v>
      </c>
    </row>
    <row r="68" spans="1:3" x14ac:dyDescent="0.2">
      <c r="A68" s="42" t="s">
        <v>73</v>
      </c>
      <c r="B68" s="67">
        <v>5</v>
      </c>
    </row>
    <row r="69" spans="1:3" x14ac:dyDescent="0.2">
      <c r="A69" s="35" t="s">
        <v>34</v>
      </c>
      <c r="B69" s="39">
        <f>B66*(1+B67)^B68</f>
        <v>129093750</v>
      </c>
    </row>
    <row r="70" spans="1:3" x14ac:dyDescent="0.2">
      <c r="A70" s="29" t="s">
        <v>74</v>
      </c>
      <c r="B70" s="39">
        <f>B17*B16</f>
        <v>91000000</v>
      </c>
    </row>
    <row r="71" spans="1:3" x14ac:dyDescent="0.2">
      <c r="A71" s="29" t="s">
        <v>75</v>
      </c>
      <c r="B71" s="75">
        <f>B69/B70</f>
        <v>1.4186126373626373</v>
      </c>
      <c r="C71" s="26" t="s">
        <v>35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B13C9-9D0E-1B40-AE81-E9FFAFAD317A}">
  <dimension ref="A7:Q50"/>
  <sheetViews>
    <sheetView zoomScale="106" workbookViewId="0">
      <selection activeCell="A29" sqref="A29:XFD29"/>
    </sheetView>
  </sheetViews>
  <sheetFormatPr baseColWidth="10" defaultRowHeight="16" x14ac:dyDescent="0.2"/>
  <cols>
    <col min="1" max="1" width="33.5" style="26" bestFit="1" customWidth="1"/>
    <col min="2" max="2" width="21.6640625" style="26" bestFit="1" customWidth="1"/>
    <col min="3" max="3" width="20.33203125" style="26" bestFit="1" customWidth="1"/>
    <col min="4" max="4" width="20.1640625" style="26" bestFit="1" customWidth="1"/>
    <col min="5" max="5" width="20.33203125" style="26" bestFit="1" customWidth="1"/>
    <col min="6" max="6" width="20.33203125" style="26" customWidth="1"/>
    <col min="7" max="7" width="28.5" style="26" customWidth="1"/>
    <col min="8" max="8" width="28.1640625" style="26" customWidth="1"/>
    <col min="9" max="9" width="12.6640625" style="26" bestFit="1" customWidth="1"/>
    <col min="10" max="16384" width="10.83203125" style="26"/>
  </cols>
  <sheetData>
    <row r="7" spans="1:10" s="31" customFormat="1" ht="19" x14ac:dyDescent="0.35">
      <c r="A7" s="55" t="s">
        <v>14</v>
      </c>
      <c r="B7" s="56" t="s">
        <v>1</v>
      </c>
      <c r="C7" s="56" t="s">
        <v>2</v>
      </c>
      <c r="D7" s="56" t="s">
        <v>3</v>
      </c>
      <c r="G7" s="30" t="s">
        <v>15</v>
      </c>
      <c r="I7" s="26"/>
      <c r="J7" s="26"/>
    </row>
    <row r="8" spans="1:10" s="31" customFormat="1" x14ac:dyDescent="0.2">
      <c r="A8" s="32" t="s">
        <v>7</v>
      </c>
      <c r="B8" s="46">
        <v>30000</v>
      </c>
      <c r="C8" s="47">
        <v>350000</v>
      </c>
      <c r="D8" s="70">
        <f>B8/C8</f>
        <v>8.5714285714285715E-2</v>
      </c>
      <c r="G8" s="33" t="s">
        <v>51</v>
      </c>
      <c r="H8" s="54">
        <v>400000</v>
      </c>
    </row>
    <row r="9" spans="1:10" s="31" customFormat="1" x14ac:dyDescent="0.2">
      <c r="A9" s="32" t="s">
        <v>8</v>
      </c>
      <c r="B9" s="46">
        <v>10000</v>
      </c>
      <c r="C9" s="47">
        <v>75000</v>
      </c>
      <c r="D9" s="70">
        <f t="shared" ref="D9:D10" si="0">B9/C9</f>
        <v>0.13333333333333333</v>
      </c>
      <c r="G9" s="33" t="s">
        <v>45</v>
      </c>
      <c r="H9" s="54">
        <v>1000000</v>
      </c>
    </row>
    <row r="10" spans="1:10" s="31" customFormat="1" x14ac:dyDescent="0.2">
      <c r="A10" s="32" t="s">
        <v>9</v>
      </c>
      <c r="B10" s="46">
        <v>10000</v>
      </c>
      <c r="C10" s="47">
        <v>75000</v>
      </c>
      <c r="D10" s="70">
        <f t="shared" si="0"/>
        <v>0.13333333333333333</v>
      </c>
      <c r="G10" s="33" t="s">
        <v>42</v>
      </c>
      <c r="H10" s="50">
        <v>0.2</v>
      </c>
    </row>
    <row r="11" spans="1:10" s="31" customFormat="1" x14ac:dyDescent="0.2">
      <c r="A11" s="32" t="s">
        <v>5</v>
      </c>
      <c r="B11" s="39">
        <f>SUM(B8:B10)</f>
        <v>50000</v>
      </c>
      <c r="C11" s="45">
        <f>SUM(C8:C10)</f>
        <v>500000</v>
      </c>
      <c r="D11" s="32"/>
      <c r="G11" s="33" t="s">
        <v>43</v>
      </c>
      <c r="H11" s="46">
        <v>4000000</v>
      </c>
    </row>
    <row r="12" spans="1:10" s="31" customFormat="1" x14ac:dyDescent="0.2">
      <c r="C12" s="3"/>
      <c r="D12" s="4"/>
      <c r="G12" s="33" t="s">
        <v>46</v>
      </c>
      <c r="H12" s="58" t="str">
        <f>IF(H9&lt;D22,"YES","NO")</f>
        <v>YES</v>
      </c>
    </row>
    <row r="13" spans="1:10" x14ac:dyDescent="0.2">
      <c r="A13" s="34" t="s">
        <v>26</v>
      </c>
      <c r="B13" s="34"/>
      <c r="C13" s="27"/>
      <c r="G13" s="29" t="s">
        <v>50</v>
      </c>
      <c r="H13" s="59">
        <f>D36*(1-H10)</f>
        <v>3891239.5061728396</v>
      </c>
      <c r="I13" s="31"/>
      <c r="J13" s="31"/>
    </row>
    <row r="14" spans="1:10" x14ac:dyDescent="0.2">
      <c r="A14" s="41" t="s">
        <v>29</v>
      </c>
      <c r="B14" s="46">
        <v>750000</v>
      </c>
      <c r="G14" s="29" t="s">
        <v>49</v>
      </c>
      <c r="H14" s="66">
        <f>MIN(H13,H11)</f>
        <v>3891239.5061728396</v>
      </c>
      <c r="I14" s="27" t="s">
        <v>47</v>
      </c>
    </row>
    <row r="15" spans="1:10" x14ac:dyDescent="0.2">
      <c r="A15" s="42" t="s">
        <v>30</v>
      </c>
      <c r="B15" s="46">
        <v>6500000</v>
      </c>
      <c r="G15" s="33" t="s">
        <v>48</v>
      </c>
      <c r="H15" s="63">
        <f>H8/H14</f>
        <v>0.10279500898504523</v>
      </c>
    </row>
    <row r="16" spans="1:10" x14ac:dyDescent="0.2">
      <c r="A16" s="42" t="s">
        <v>27</v>
      </c>
      <c r="B16" s="67">
        <v>14</v>
      </c>
      <c r="G16" s="29" t="s">
        <v>52</v>
      </c>
      <c r="H16" s="61">
        <f>H15/(1-H15)*C11</f>
        <v>57286.244511836332</v>
      </c>
    </row>
    <row r="17" spans="1:17" x14ac:dyDescent="0.2">
      <c r="A17" s="35" t="s">
        <v>28</v>
      </c>
      <c r="B17" s="39">
        <f>B16*B15</f>
        <v>91000000</v>
      </c>
      <c r="G17" s="29" t="s">
        <v>54</v>
      </c>
      <c r="H17" s="62">
        <f>H8/H16</f>
        <v>6.9824790123456788</v>
      </c>
    </row>
    <row r="19" spans="1:17" ht="23" x14ac:dyDescent="0.25">
      <c r="A19" s="81" t="s">
        <v>80</v>
      </c>
    </row>
    <row r="20" spans="1:17" x14ac:dyDescent="0.2">
      <c r="A20" s="30" t="s">
        <v>78</v>
      </c>
      <c r="B20" s="83">
        <v>0.1</v>
      </c>
      <c r="C20" s="31"/>
      <c r="D20" s="31"/>
      <c r="E20" s="31"/>
      <c r="F20" s="31"/>
      <c r="G20" s="31"/>
      <c r="H20" s="31"/>
      <c r="I20" s="31"/>
      <c r="J20" s="31"/>
      <c r="K20" s="31"/>
      <c r="L20" s="31"/>
      <c r="M20" s="31"/>
      <c r="N20" s="31"/>
      <c r="O20" s="31"/>
      <c r="P20" s="31"/>
      <c r="Q20" s="31"/>
    </row>
    <row r="21" spans="1:17" ht="24" customHeight="1" x14ac:dyDescent="0.2">
      <c r="A21" s="57" t="s">
        <v>20</v>
      </c>
      <c r="B21" s="57" t="s">
        <v>79</v>
      </c>
      <c r="C21" s="57" t="s">
        <v>53</v>
      </c>
      <c r="D21" s="57" t="s">
        <v>13</v>
      </c>
      <c r="E21" s="57" t="s">
        <v>19</v>
      </c>
      <c r="F21" s="57" t="s">
        <v>18</v>
      </c>
      <c r="G21" s="31"/>
      <c r="H21" s="31"/>
      <c r="I21" s="31"/>
      <c r="J21" s="31"/>
      <c r="K21" s="31"/>
      <c r="L21" s="31"/>
      <c r="M21" s="31"/>
      <c r="N21" s="31"/>
      <c r="O21" s="31"/>
      <c r="P21" s="31"/>
      <c r="Q21" s="31"/>
    </row>
    <row r="22" spans="1:17" x14ac:dyDescent="0.2">
      <c r="A22" s="33" t="s">
        <v>32</v>
      </c>
      <c r="B22" s="94">
        <v>0</v>
      </c>
      <c r="C22" s="85">
        <v>400000</v>
      </c>
      <c r="D22" s="46">
        <v>1500000</v>
      </c>
      <c r="E22" s="46">
        <v>7000000</v>
      </c>
      <c r="F22" s="46">
        <v>8500000</v>
      </c>
      <c r="G22" s="1"/>
      <c r="I22" s="1"/>
      <c r="J22" s="27" t="s">
        <v>36</v>
      </c>
      <c r="K22" s="31"/>
      <c r="L22" s="31"/>
      <c r="M22" s="31"/>
      <c r="N22" s="31"/>
      <c r="O22" s="31"/>
      <c r="P22" s="31"/>
      <c r="Q22" s="31"/>
    </row>
    <row r="23" spans="1:17" ht="51" x14ac:dyDescent="0.2">
      <c r="A23" s="37" t="s">
        <v>21</v>
      </c>
      <c r="B23" s="28" t="s">
        <v>0</v>
      </c>
      <c r="C23" s="86" t="s">
        <v>0</v>
      </c>
      <c r="D23" s="48" t="s">
        <v>23</v>
      </c>
      <c r="E23" s="48" t="s">
        <v>22</v>
      </c>
      <c r="F23" s="49" t="s">
        <v>24</v>
      </c>
      <c r="G23" s="1"/>
      <c r="H23" s="31"/>
      <c r="I23" s="1"/>
      <c r="J23" s="31"/>
      <c r="K23" s="31"/>
      <c r="L23" s="31"/>
      <c r="M23" s="31"/>
      <c r="N23" s="31"/>
      <c r="O23" s="31"/>
      <c r="P23" s="31"/>
      <c r="Q23" s="31"/>
    </row>
    <row r="24" spans="1:17" x14ac:dyDescent="0.2">
      <c r="A24" s="33" t="s">
        <v>31</v>
      </c>
      <c r="B24" s="28" t="s">
        <v>0</v>
      </c>
      <c r="C24" s="87" t="s">
        <v>0</v>
      </c>
      <c r="D24" s="50">
        <v>0.5</v>
      </c>
      <c r="E24" s="51">
        <v>0.4</v>
      </c>
      <c r="F24" s="51">
        <v>0.3</v>
      </c>
      <c r="G24" s="36"/>
      <c r="H24" s="27"/>
      <c r="I24" s="36"/>
      <c r="J24" s="31"/>
      <c r="K24" s="31"/>
      <c r="L24" s="31"/>
      <c r="M24" s="31"/>
      <c r="N24" s="31"/>
      <c r="O24" s="31"/>
      <c r="P24" s="31"/>
      <c r="Q24" s="31"/>
    </row>
    <row r="25" spans="1:17" x14ac:dyDescent="0.2">
      <c r="A25" s="33" t="s">
        <v>33</v>
      </c>
      <c r="B25" s="28" t="s">
        <v>0</v>
      </c>
      <c r="C25" s="87">
        <v>6</v>
      </c>
      <c r="D25" s="52">
        <v>5</v>
      </c>
      <c r="E25" s="52">
        <v>3</v>
      </c>
      <c r="F25" s="53">
        <f>2030-2028</f>
        <v>2</v>
      </c>
      <c r="G25" s="1"/>
      <c r="H25" s="31"/>
      <c r="I25" s="1"/>
      <c r="J25" s="31"/>
      <c r="K25" s="31"/>
      <c r="L25" s="31"/>
      <c r="M25" s="31"/>
      <c r="N25" s="31"/>
      <c r="O25" s="31"/>
      <c r="P25" s="31"/>
      <c r="Q25" s="31"/>
    </row>
    <row r="26" spans="1:17" x14ac:dyDescent="0.2">
      <c r="A26" s="33" t="s">
        <v>34</v>
      </c>
      <c r="B26" s="28" t="s">
        <v>0</v>
      </c>
      <c r="C26" s="87" t="s">
        <v>0</v>
      </c>
      <c r="D26" s="39">
        <f>D22*(1+D24)^D25</f>
        <v>11390625</v>
      </c>
      <c r="E26" s="39">
        <f>E22*(1+E24)^E25</f>
        <v>19207999.999999996</v>
      </c>
      <c r="F26" s="39">
        <f>F22*(1+F24)^F25</f>
        <v>14365000.000000002</v>
      </c>
    </row>
    <row r="27" spans="1:17" x14ac:dyDescent="0.2">
      <c r="A27" s="78" t="s">
        <v>76</v>
      </c>
      <c r="B27" s="38">
        <v>0.1</v>
      </c>
      <c r="C27" s="88" t="s">
        <v>0</v>
      </c>
      <c r="D27" s="73">
        <f>D26/$B$17</f>
        <v>0.1251717032967033</v>
      </c>
      <c r="E27" s="73">
        <f>E26/$B$17</f>
        <v>0.21107692307692302</v>
      </c>
      <c r="F27" s="73">
        <f>F26/$B$17</f>
        <v>0.15785714285714289</v>
      </c>
    </row>
    <row r="28" spans="1:17" x14ac:dyDescent="0.2">
      <c r="A28" s="29" t="s">
        <v>77</v>
      </c>
      <c r="B28" s="38" t="s">
        <v>0</v>
      </c>
      <c r="C28" s="88"/>
      <c r="D28" s="73">
        <f>D27*(1-$B$20)</f>
        <v>0.11265453296703297</v>
      </c>
      <c r="E28" s="73">
        <f>E27*(1-$B$20)</f>
        <v>0.18996923076923072</v>
      </c>
      <c r="F28" s="73">
        <f>F27*(1-$B$20)</f>
        <v>0.1420714285714286</v>
      </c>
    </row>
    <row r="29" spans="1:17" x14ac:dyDescent="0.2">
      <c r="A29" s="29" t="s">
        <v>39</v>
      </c>
      <c r="B29" s="28" t="s">
        <v>0</v>
      </c>
      <c r="C29" s="88" t="s">
        <v>0</v>
      </c>
      <c r="D29" s="73">
        <f>1-B27-E27-F27</f>
        <v>0.53106593406593405</v>
      </c>
      <c r="E29" s="73">
        <f>1-B27-F27</f>
        <v>0.7421428571428571</v>
      </c>
      <c r="F29" s="40">
        <f>1-B27</f>
        <v>0.9</v>
      </c>
    </row>
    <row r="30" spans="1:17" x14ac:dyDescent="0.2">
      <c r="A30" s="78" t="s">
        <v>40</v>
      </c>
      <c r="B30" s="38">
        <v>0.1</v>
      </c>
      <c r="C30" s="89">
        <f>H15</f>
        <v>0.10279500898504523</v>
      </c>
      <c r="D30" s="103">
        <f>D27/D29</f>
        <v>0.23569898814327395</v>
      </c>
      <c r="E30" s="103">
        <f t="shared" ref="E30:F30" si="1">E27/E29</f>
        <v>0.28441548826534385</v>
      </c>
      <c r="F30" s="103">
        <f t="shared" si="1"/>
        <v>0.17539682539682544</v>
      </c>
    </row>
    <row r="31" spans="1:17" x14ac:dyDescent="0.2">
      <c r="A31" s="29" t="s">
        <v>55</v>
      </c>
      <c r="B31" s="95">
        <f>B30/(1-B30)*$C$11</f>
        <v>55555.555555555562</v>
      </c>
      <c r="C31" s="26" t="s">
        <v>0</v>
      </c>
      <c r="D31" s="71">
        <f>D30/(1-D30)*$C$11</f>
        <v>154192.51347756785</v>
      </c>
      <c r="E31" s="71">
        <f>E30/(1-E30)*($C$11+D31)</f>
        <v>260014.68741856766</v>
      </c>
      <c r="F31" s="71">
        <f>F30/(1-F30)*($C$11+D31+E31)</f>
        <v>194456.00712035227</v>
      </c>
      <c r="G31" s="27" t="s">
        <v>41</v>
      </c>
    </row>
    <row r="32" spans="1:17" x14ac:dyDescent="0.2">
      <c r="A32" s="29" t="s">
        <v>57</v>
      </c>
      <c r="B32" s="28">
        <f>B22/B31</f>
        <v>0</v>
      </c>
      <c r="C32" s="90" t="s">
        <v>0</v>
      </c>
      <c r="D32" s="43">
        <f>D22/D31</f>
        <v>9.7280987654320992</v>
      </c>
      <c r="E32" s="43">
        <f>E22/E31</f>
        <v>26.921556122448987</v>
      </c>
      <c r="F32" s="43">
        <f>F22/F31</f>
        <v>43.711686390532535</v>
      </c>
    </row>
    <row r="33" spans="1:10" x14ac:dyDescent="0.2">
      <c r="A33" s="78" t="s">
        <v>56</v>
      </c>
      <c r="B33" s="97">
        <f>B30/(1-B30)*($C$11+C33+D33+E33+F33)</f>
        <v>137298.39013865628</v>
      </c>
      <c r="C33" s="91">
        <f>H16</f>
        <v>57286.244511836332</v>
      </c>
      <c r="D33" s="76">
        <f>D30/(1-D30)*($C$11+C33)</f>
        <v>171858.733535509</v>
      </c>
      <c r="E33" s="76">
        <f>E30/(1-E30)*($C$11+C33+D33)</f>
        <v>289805.21733882517</v>
      </c>
      <c r="F33" s="76">
        <f>F30/(1-F30)*($C$11+C33+D33+E33)</f>
        <v>216735.31586173602</v>
      </c>
      <c r="G33" s="27"/>
    </row>
    <row r="34" spans="1:10" x14ac:dyDescent="0.2">
      <c r="A34" s="78" t="s">
        <v>58</v>
      </c>
      <c r="B34" s="96">
        <f>B22/B33</f>
        <v>0</v>
      </c>
      <c r="C34" s="92">
        <f>C22/C33</f>
        <v>6.9824790123456788</v>
      </c>
      <c r="D34" s="77">
        <f>D22/D33</f>
        <v>8.7280987654320974</v>
      </c>
      <c r="E34" s="77">
        <f>E22/E33</f>
        <v>24.154154518950445</v>
      </c>
      <c r="F34" s="77">
        <f>F22/F33</f>
        <v>39.218343195266272</v>
      </c>
      <c r="G34" s="27"/>
    </row>
    <row r="35" spans="1:10" x14ac:dyDescent="0.2">
      <c r="A35" s="78" t="s">
        <v>38</v>
      </c>
      <c r="B35" s="94">
        <f>B22/B30</f>
        <v>0</v>
      </c>
      <c r="C35" s="93">
        <f>H14</f>
        <v>3891239.5061728396</v>
      </c>
      <c r="D35" s="77">
        <f>D22/D30</f>
        <v>6364049.3827160494</v>
      </c>
      <c r="E35" s="77">
        <f>E22/E30</f>
        <v>24611880.466472305</v>
      </c>
      <c r="F35" s="77">
        <f>F22/F30</f>
        <v>48461538.461538449</v>
      </c>
    </row>
    <row r="36" spans="1:10" x14ac:dyDescent="0.2">
      <c r="A36" s="78" t="s">
        <v>37</v>
      </c>
      <c r="B36" s="94">
        <f>B35-B22</f>
        <v>0</v>
      </c>
      <c r="C36" s="93">
        <f>C35-C22</f>
        <v>3491239.5061728396</v>
      </c>
      <c r="D36" s="77">
        <f>D35-D22</f>
        <v>4864049.3827160494</v>
      </c>
      <c r="E36" s="77">
        <f>E35-E22</f>
        <v>17611880.466472305</v>
      </c>
      <c r="F36" s="77">
        <f>F35-F22</f>
        <v>39961538.461538449</v>
      </c>
    </row>
    <row r="39" spans="1:10" x14ac:dyDescent="0.2">
      <c r="A39" s="29" t="s">
        <v>61</v>
      </c>
      <c r="B39" s="74">
        <f>SUM(B33:F33,C11)</f>
        <v>1372983.9013865627</v>
      </c>
    </row>
    <row r="40" spans="1:10" x14ac:dyDescent="0.2">
      <c r="A40" s="29" t="s">
        <v>59</v>
      </c>
      <c r="B40" s="69">
        <f>B17/B39</f>
        <v>66.279000000000011</v>
      </c>
    </row>
    <row r="41" spans="1:10" x14ac:dyDescent="0.2">
      <c r="A41" s="29" t="s">
        <v>60</v>
      </c>
      <c r="B41" s="28"/>
      <c r="C41" s="28"/>
      <c r="D41" s="64">
        <f>($B$40/D34)^(1/D25)-1</f>
        <v>0.5</v>
      </c>
      <c r="E41" s="64">
        <f>($B$40/E34)^(1/E25)-1</f>
        <v>0.39999999999999991</v>
      </c>
      <c r="F41" s="64">
        <f>($B$40/F34)^(1/F25)-1</f>
        <v>0.30000000000000004</v>
      </c>
    </row>
    <row r="42" spans="1:10" x14ac:dyDescent="0.2">
      <c r="A42" s="27" t="s">
        <v>62</v>
      </c>
    </row>
    <row r="44" spans="1:10" x14ac:dyDescent="0.2">
      <c r="A44" s="34" t="s">
        <v>65</v>
      </c>
    </row>
    <row r="45" spans="1:10" x14ac:dyDescent="0.2">
      <c r="A45" s="26" t="s">
        <v>67</v>
      </c>
      <c r="B45" s="79">
        <v>6</v>
      </c>
    </row>
    <row r="46" spans="1:10" ht="19" x14ac:dyDescent="0.35">
      <c r="A46" s="55" t="s">
        <v>66</v>
      </c>
      <c r="B46" s="56" t="s">
        <v>1</v>
      </c>
      <c r="C46" s="56" t="s">
        <v>2</v>
      </c>
      <c r="D46" s="56" t="s">
        <v>64</v>
      </c>
      <c r="E46" s="56" t="s">
        <v>68</v>
      </c>
      <c r="F46" s="98"/>
      <c r="J46" s="44"/>
    </row>
    <row r="47" spans="1:10" x14ac:dyDescent="0.2">
      <c r="A47" s="32" t="s">
        <v>7</v>
      </c>
      <c r="B47" s="46">
        <v>30000</v>
      </c>
      <c r="C47" s="47">
        <v>350000</v>
      </c>
      <c r="D47" s="80">
        <f>$B$40*C47</f>
        <v>23197650.000000004</v>
      </c>
      <c r="E47" s="75">
        <f>(D47/B47)^(1/$B$45)-1</f>
        <v>2.0296127708642118</v>
      </c>
      <c r="F47" s="99"/>
    </row>
    <row r="48" spans="1:10" x14ac:dyDescent="0.2">
      <c r="A48" s="32" t="s">
        <v>8</v>
      </c>
      <c r="B48" s="46">
        <v>10000</v>
      </c>
      <c r="C48" s="47">
        <v>75000</v>
      </c>
      <c r="D48" s="80">
        <f t="shared" ref="D48:D50" si="2">$B$40*C48</f>
        <v>4970925.0000000009</v>
      </c>
      <c r="E48" s="75">
        <f t="shared" ref="E48:E50" si="3">(D48/B48)^(1/$B$45)-1</f>
        <v>1.8145320713856461</v>
      </c>
      <c r="F48" s="104">
        <f>D48+D49</f>
        <v>9941850.0000000019</v>
      </c>
    </row>
    <row r="49" spans="1:6" x14ac:dyDescent="0.2">
      <c r="A49" s="32" t="s">
        <v>9</v>
      </c>
      <c r="B49" s="46">
        <v>10000</v>
      </c>
      <c r="C49" s="47">
        <v>75000</v>
      </c>
      <c r="D49" s="80">
        <f t="shared" si="2"/>
        <v>4970925.0000000009</v>
      </c>
      <c r="E49" s="75">
        <f t="shared" si="3"/>
        <v>1.8145320713856461</v>
      </c>
      <c r="F49" s="99"/>
    </row>
    <row r="50" spans="1:6" x14ac:dyDescent="0.2">
      <c r="A50" s="32" t="s">
        <v>63</v>
      </c>
      <c r="B50" s="54">
        <v>400000</v>
      </c>
      <c r="C50" s="68">
        <f>C33</f>
        <v>57286.244511836332</v>
      </c>
      <c r="D50" s="80">
        <f t="shared" si="2"/>
        <v>3796875.0000000009</v>
      </c>
      <c r="E50" s="75">
        <f t="shared" si="3"/>
        <v>0.45510517316870058</v>
      </c>
      <c r="F50" s="9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E8DF7-6359-F54D-8998-CBB487559808}">
  <dimension ref="A7:R50"/>
  <sheetViews>
    <sheetView tabSelected="1" topLeftCell="A9" zoomScaleNormal="115" workbookViewId="0">
      <selection activeCell="D29" sqref="D29"/>
    </sheetView>
  </sheetViews>
  <sheetFormatPr baseColWidth="10" defaultRowHeight="16" x14ac:dyDescent="0.2"/>
  <cols>
    <col min="1" max="1" width="33.5" style="26" bestFit="1" customWidth="1"/>
    <col min="2" max="2" width="21.6640625" style="26" bestFit="1" customWidth="1"/>
    <col min="3" max="3" width="20.33203125" style="26" bestFit="1" customWidth="1"/>
    <col min="4" max="4" width="20.1640625" style="26" bestFit="1" customWidth="1"/>
    <col min="5" max="5" width="20.1640625" style="26" customWidth="1"/>
    <col min="6" max="6" width="20.33203125" style="26" bestFit="1" customWidth="1"/>
    <col min="7" max="7" width="20.33203125" style="26" customWidth="1"/>
    <col min="8" max="8" width="28.5" style="26" customWidth="1"/>
    <col min="9" max="9" width="28.1640625" style="26" customWidth="1"/>
    <col min="10" max="10" width="12.6640625" style="26" bestFit="1" customWidth="1"/>
    <col min="11" max="16384" width="10.83203125" style="26"/>
  </cols>
  <sheetData>
    <row r="7" spans="1:11" s="31" customFormat="1" ht="19" x14ac:dyDescent="0.35">
      <c r="A7" s="55" t="s">
        <v>14</v>
      </c>
      <c r="B7" s="56" t="s">
        <v>1</v>
      </c>
      <c r="C7" s="56" t="s">
        <v>2</v>
      </c>
      <c r="D7" s="56" t="s">
        <v>3</v>
      </c>
      <c r="E7" s="112"/>
      <c r="H7" s="30" t="s">
        <v>15</v>
      </c>
      <c r="J7" s="26"/>
      <c r="K7" s="26"/>
    </row>
    <row r="8" spans="1:11" s="31" customFormat="1" x14ac:dyDescent="0.2">
      <c r="A8" s="32" t="s">
        <v>7</v>
      </c>
      <c r="B8" s="46">
        <v>30000</v>
      </c>
      <c r="C8" s="47">
        <v>350000</v>
      </c>
      <c r="D8" s="70">
        <f>B8/C8</f>
        <v>8.5714285714285715E-2</v>
      </c>
      <c r="E8" s="113"/>
      <c r="H8" s="33" t="s">
        <v>51</v>
      </c>
      <c r="I8" s="54">
        <v>400000</v>
      </c>
    </row>
    <row r="9" spans="1:11" s="31" customFormat="1" x14ac:dyDescent="0.2">
      <c r="A9" s="32" t="s">
        <v>8</v>
      </c>
      <c r="B9" s="46">
        <v>10000</v>
      </c>
      <c r="C9" s="47">
        <v>75000</v>
      </c>
      <c r="D9" s="70">
        <f t="shared" ref="D9:D10" si="0">B9/C9</f>
        <v>0.13333333333333333</v>
      </c>
      <c r="E9" s="113"/>
      <c r="H9" s="33" t="s">
        <v>45</v>
      </c>
      <c r="I9" s="54">
        <v>1000000</v>
      </c>
    </row>
    <row r="10" spans="1:11" s="31" customFormat="1" x14ac:dyDescent="0.2">
      <c r="A10" s="32" t="s">
        <v>9</v>
      </c>
      <c r="B10" s="46">
        <v>10000</v>
      </c>
      <c r="C10" s="47">
        <v>75000</v>
      </c>
      <c r="D10" s="70">
        <f t="shared" si="0"/>
        <v>0.13333333333333333</v>
      </c>
      <c r="E10" s="113"/>
      <c r="H10" s="33" t="s">
        <v>42</v>
      </c>
      <c r="I10" s="50">
        <v>0.2</v>
      </c>
    </row>
    <row r="11" spans="1:11" s="31" customFormat="1" x14ac:dyDescent="0.2">
      <c r="A11" s="32" t="s">
        <v>5</v>
      </c>
      <c r="B11" s="39">
        <f>SUM(B8:B10)</f>
        <v>50000</v>
      </c>
      <c r="C11" s="45">
        <f>SUM(C8:C10)</f>
        <v>500000</v>
      </c>
      <c r="D11" s="32"/>
      <c r="E11" s="114"/>
      <c r="H11" s="33" t="s">
        <v>43</v>
      </c>
      <c r="I11" s="46">
        <v>4000000</v>
      </c>
    </row>
    <row r="12" spans="1:11" s="31" customFormat="1" x14ac:dyDescent="0.2">
      <c r="C12" s="3"/>
      <c r="D12" s="4"/>
      <c r="E12" s="4"/>
      <c r="H12" s="33" t="s">
        <v>46</v>
      </c>
      <c r="I12" s="58" t="str">
        <f>IF(I9&lt;D22,"YES","NO")</f>
        <v>YES</v>
      </c>
    </row>
    <row r="13" spans="1:11" x14ac:dyDescent="0.2">
      <c r="A13" s="34" t="s">
        <v>26</v>
      </c>
      <c r="B13" s="34"/>
      <c r="C13" s="27"/>
      <c r="H13" s="29" t="s">
        <v>50</v>
      </c>
      <c r="I13" s="59">
        <f>D36*(1-I10)</f>
        <v>3891239.5061728396</v>
      </c>
      <c r="J13" s="31"/>
      <c r="K13" s="31"/>
    </row>
    <row r="14" spans="1:11" x14ac:dyDescent="0.2">
      <c r="A14" s="41" t="s">
        <v>29</v>
      </c>
      <c r="B14" s="46">
        <v>750000</v>
      </c>
      <c r="H14" s="29" t="s">
        <v>49</v>
      </c>
      <c r="I14" s="66">
        <f>MIN(I13,I11)</f>
        <v>3891239.5061728396</v>
      </c>
      <c r="J14" s="27" t="s">
        <v>47</v>
      </c>
    </row>
    <row r="15" spans="1:11" x14ac:dyDescent="0.2">
      <c r="A15" s="42" t="s">
        <v>30</v>
      </c>
      <c r="B15" s="46">
        <v>6500000</v>
      </c>
      <c r="H15" s="33" t="s">
        <v>48</v>
      </c>
      <c r="I15" s="63">
        <f>I8/I14</f>
        <v>0.10279500898504523</v>
      </c>
    </row>
    <row r="16" spans="1:11" x14ac:dyDescent="0.2">
      <c r="A16" s="42" t="s">
        <v>27</v>
      </c>
      <c r="B16" s="67">
        <v>14</v>
      </c>
      <c r="H16" s="29" t="s">
        <v>52</v>
      </c>
      <c r="I16" s="61">
        <f>I15/(1-I15)*C11</f>
        <v>57286.244511836332</v>
      </c>
    </row>
    <row r="17" spans="1:18" x14ac:dyDescent="0.2">
      <c r="A17" s="35" t="s">
        <v>28</v>
      </c>
      <c r="B17" s="39">
        <f>B16*B15</f>
        <v>91000000</v>
      </c>
      <c r="H17" s="29" t="s">
        <v>54</v>
      </c>
      <c r="I17" s="62">
        <f>I8/I16</f>
        <v>6.9824790123456788</v>
      </c>
    </row>
    <row r="19" spans="1:18" ht="23" x14ac:dyDescent="0.25">
      <c r="A19" s="81" t="s">
        <v>80</v>
      </c>
    </row>
    <row r="20" spans="1:18" x14ac:dyDescent="0.2">
      <c r="A20" s="30" t="s">
        <v>78</v>
      </c>
      <c r="B20" s="83">
        <v>0.1</v>
      </c>
      <c r="C20" s="31"/>
      <c r="D20" s="31"/>
      <c r="E20" s="31"/>
      <c r="F20" s="31"/>
      <c r="G20" s="31"/>
      <c r="H20" s="31"/>
      <c r="I20" s="31"/>
      <c r="J20" s="31"/>
      <c r="K20" s="31"/>
      <c r="L20" s="31"/>
      <c r="M20" s="31"/>
      <c r="N20" s="31"/>
      <c r="O20" s="31"/>
      <c r="P20" s="31"/>
      <c r="Q20" s="31"/>
      <c r="R20" s="31"/>
    </row>
    <row r="21" spans="1:18" ht="24" customHeight="1" x14ac:dyDescent="0.2">
      <c r="A21" s="57" t="s">
        <v>20</v>
      </c>
      <c r="B21" s="57" t="s">
        <v>79</v>
      </c>
      <c r="C21" s="57" t="s">
        <v>53</v>
      </c>
      <c r="D21" s="57" t="s">
        <v>13</v>
      </c>
      <c r="E21" s="57" t="s">
        <v>19</v>
      </c>
      <c r="F21" s="57" t="s">
        <v>18</v>
      </c>
      <c r="H21" s="31"/>
      <c r="I21" s="31"/>
      <c r="J21" s="31"/>
      <c r="K21" s="31"/>
      <c r="L21" s="31"/>
      <c r="M21" s="31"/>
      <c r="N21" s="31"/>
      <c r="O21" s="31"/>
      <c r="P21" s="31"/>
      <c r="Q21" s="31"/>
      <c r="R21" s="31"/>
    </row>
    <row r="22" spans="1:18" x14ac:dyDescent="0.2">
      <c r="A22" s="33" t="s">
        <v>32</v>
      </c>
      <c r="B22" s="94">
        <v>0</v>
      </c>
      <c r="C22" s="85">
        <v>400000</v>
      </c>
      <c r="D22" s="46">
        <v>1500000</v>
      </c>
      <c r="E22" s="46">
        <v>7000000</v>
      </c>
      <c r="F22" s="46">
        <v>10500000</v>
      </c>
      <c r="H22" s="1"/>
      <c r="J22" s="1"/>
      <c r="K22" s="27" t="s">
        <v>36</v>
      </c>
      <c r="L22" s="31"/>
      <c r="M22" s="31"/>
      <c r="N22" s="31"/>
      <c r="O22" s="31"/>
      <c r="P22" s="31"/>
      <c r="Q22" s="31"/>
      <c r="R22" s="31"/>
    </row>
    <row r="23" spans="1:18" ht="51" x14ac:dyDescent="0.2">
      <c r="A23" s="37" t="s">
        <v>21</v>
      </c>
      <c r="B23" s="28" t="s">
        <v>0</v>
      </c>
      <c r="C23" s="86" t="s">
        <v>0</v>
      </c>
      <c r="D23" s="48" t="s">
        <v>23</v>
      </c>
      <c r="E23" s="48" t="s">
        <v>22</v>
      </c>
      <c r="F23" s="49" t="s">
        <v>24</v>
      </c>
      <c r="H23" s="1"/>
      <c r="I23" s="31"/>
      <c r="J23" s="1"/>
      <c r="K23" s="31"/>
      <c r="L23" s="31"/>
      <c r="M23" s="31"/>
      <c r="N23" s="31"/>
      <c r="O23" s="31"/>
      <c r="P23" s="31"/>
      <c r="Q23" s="31"/>
      <c r="R23" s="31"/>
    </row>
    <row r="24" spans="1:18" x14ac:dyDescent="0.2">
      <c r="A24" s="33" t="s">
        <v>31</v>
      </c>
      <c r="B24" s="28" t="s">
        <v>0</v>
      </c>
      <c r="C24" s="87" t="s">
        <v>0</v>
      </c>
      <c r="D24" s="50">
        <v>0.5</v>
      </c>
      <c r="E24" s="51">
        <v>0.4</v>
      </c>
      <c r="F24" s="51">
        <v>0.3</v>
      </c>
      <c r="H24" s="36"/>
      <c r="I24" s="27"/>
      <c r="J24" s="36"/>
      <c r="K24" s="31"/>
      <c r="L24" s="31"/>
      <c r="M24" s="31"/>
      <c r="N24" s="31"/>
      <c r="O24" s="31"/>
      <c r="P24" s="31"/>
      <c r="Q24" s="31"/>
      <c r="R24" s="31"/>
    </row>
    <row r="25" spans="1:18" x14ac:dyDescent="0.2">
      <c r="A25" s="33" t="s">
        <v>33</v>
      </c>
      <c r="B25" s="28" t="s">
        <v>0</v>
      </c>
      <c r="C25" s="87">
        <f>2032-2024</f>
        <v>8</v>
      </c>
      <c r="D25" s="52">
        <v>5</v>
      </c>
      <c r="E25" s="52">
        <v>5</v>
      </c>
      <c r="F25" s="53">
        <v>4</v>
      </c>
      <c r="H25" s="1"/>
      <c r="I25" s="31"/>
      <c r="J25" s="1"/>
      <c r="K25" s="31"/>
      <c r="L25" s="31"/>
      <c r="M25" s="31"/>
      <c r="N25" s="31"/>
      <c r="O25" s="31"/>
      <c r="P25" s="31"/>
      <c r="Q25" s="31"/>
      <c r="R25" s="31"/>
    </row>
    <row r="26" spans="1:18" x14ac:dyDescent="0.2">
      <c r="A26" s="33" t="s">
        <v>34</v>
      </c>
      <c r="B26" s="28" t="s">
        <v>0</v>
      </c>
      <c r="C26" s="87" t="s">
        <v>0</v>
      </c>
      <c r="D26" s="46">
        <v>11390625</v>
      </c>
      <c r="E26" s="39">
        <f>E22*(1+E24)^E25</f>
        <v>37647679.999999985</v>
      </c>
      <c r="F26" s="39">
        <f>F22*(1+F24)^F25</f>
        <v>29989050.000000004</v>
      </c>
    </row>
    <row r="27" spans="1:18" x14ac:dyDescent="0.2">
      <c r="A27" s="78" t="s">
        <v>76</v>
      </c>
      <c r="B27" s="38">
        <v>0.1</v>
      </c>
      <c r="C27" s="88" t="s">
        <v>0</v>
      </c>
      <c r="D27" s="115">
        <v>0.1251717032967033</v>
      </c>
      <c r="E27" s="75">
        <f>E26/$B$17</f>
        <v>0.41371076923076905</v>
      </c>
      <c r="F27" s="75">
        <f>F26/$B$17</f>
        <v>0.32955000000000007</v>
      </c>
    </row>
    <row r="28" spans="1:18" x14ac:dyDescent="0.2">
      <c r="A28" s="29" t="s">
        <v>77</v>
      </c>
      <c r="B28" s="38" t="s">
        <v>0</v>
      </c>
      <c r="C28" s="88"/>
      <c r="D28" s="116">
        <v>0.11265453296703297</v>
      </c>
      <c r="E28" s="73">
        <f>E27*(1-$B$20)</f>
        <v>0.37233969230769215</v>
      </c>
      <c r="F28" s="73">
        <f>F27*(1-$B$20)</f>
        <v>0.29659500000000005</v>
      </c>
    </row>
    <row r="29" spans="1:18" x14ac:dyDescent="0.2">
      <c r="A29" s="29" t="s">
        <v>39</v>
      </c>
      <c r="B29" s="28" t="s">
        <v>0</v>
      </c>
      <c r="C29" s="88" t="s">
        <v>0</v>
      </c>
      <c r="D29" s="116">
        <v>0.53106593406593405</v>
      </c>
      <c r="E29" s="73">
        <f>(1-B27-D27)-F27</f>
        <v>0.44527829670329661</v>
      </c>
      <c r="F29" s="40">
        <f>1-B27-D27</f>
        <v>0.77482829670329667</v>
      </c>
    </row>
    <row r="30" spans="1:18" x14ac:dyDescent="0.2">
      <c r="A30" s="78" t="s">
        <v>40</v>
      </c>
      <c r="B30" s="38">
        <v>0.1</v>
      </c>
      <c r="C30" s="89">
        <f>I15</f>
        <v>0.10279500898504523</v>
      </c>
      <c r="D30" s="115">
        <v>0.23569898814327395</v>
      </c>
      <c r="E30" s="103">
        <f t="shared" ref="E30:F30" si="1">E27/E29</f>
        <v>0.92910607207617391</v>
      </c>
      <c r="F30" s="103">
        <f t="shared" si="1"/>
        <v>0.42532003722909195</v>
      </c>
    </row>
    <row r="31" spans="1:18" x14ac:dyDescent="0.2">
      <c r="A31" s="29" t="s">
        <v>55</v>
      </c>
      <c r="B31" s="95">
        <f>B30/(1-B30)*$C$11</f>
        <v>55555.555555555562</v>
      </c>
      <c r="C31" s="26" t="s">
        <v>0</v>
      </c>
      <c r="D31" s="117">
        <v>154192.51347756785</v>
      </c>
      <c r="E31" s="71">
        <f>E30/(1-E30)*($C$11+D31)</f>
        <v>8573572.5806004852</v>
      </c>
      <c r="F31" s="71">
        <f>F30/(1-F30)*($C$11+D31+E31)</f>
        <v>6829459.2601259118</v>
      </c>
      <c r="H31" s="27" t="s">
        <v>41</v>
      </c>
    </row>
    <row r="32" spans="1:18" x14ac:dyDescent="0.2">
      <c r="A32" s="29" t="s">
        <v>57</v>
      </c>
      <c r="B32" s="28">
        <f>B22/B31</f>
        <v>0</v>
      </c>
      <c r="C32" s="90" t="s">
        <v>0</v>
      </c>
      <c r="D32" s="118">
        <v>9.7280987654320992</v>
      </c>
      <c r="E32" s="43">
        <f>E22/E31</f>
        <v>0.81646244132101653</v>
      </c>
      <c r="F32" s="43">
        <f>F22/F31</f>
        <v>1.537457007951522</v>
      </c>
    </row>
    <row r="33" spans="1:11" x14ac:dyDescent="0.2">
      <c r="A33" s="78" t="s">
        <v>56</v>
      </c>
      <c r="B33" s="97">
        <f>B30/(1-B30)*($C$11+C33+D33+E33+F33)</f>
        <v>1988548.94614185</v>
      </c>
      <c r="C33" s="91">
        <f>I16</f>
        <v>57286.244511836332</v>
      </c>
      <c r="D33" s="119">
        <v>171858.733535509</v>
      </c>
      <c r="E33" s="76">
        <f>E30/(1-E30)*($C$11+C33+D33)</f>
        <v>9555868.1309849955</v>
      </c>
      <c r="F33" s="76">
        <f>F30/(1-F30)*($C$11+C33+D33+E33)</f>
        <v>7611927.4062443078</v>
      </c>
      <c r="H33" s="27"/>
    </row>
    <row r="34" spans="1:11" x14ac:dyDescent="0.2">
      <c r="A34" s="78" t="s">
        <v>58</v>
      </c>
      <c r="B34" s="96">
        <f>B22/B33</f>
        <v>0</v>
      </c>
      <c r="C34" s="92">
        <f>C22/C33</f>
        <v>6.9824790123456788</v>
      </c>
      <c r="D34" s="120">
        <v>8.7280987654320974</v>
      </c>
      <c r="E34" s="77">
        <f>E22/E33</f>
        <v>0.73253417732947068</v>
      </c>
      <c r="F34" s="77">
        <f>F22/F33</f>
        <v>1.3794141010050245</v>
      </c>
      <c r="H34" s="27"/>
    </row>
    <row r="35" spans="1:11" x14ac:dyDescent="0.2">
      <c r="A35" s="78" t="s">
        <v>38</v>
      </c>
      <c r="B35" s="94">
        <f>B22/B30</f>
        <v>0</v>
      </c>
      <c r="C35" s="93">
        <f>I14</f>
        <v>3891239.5061728396</v>
      </c>
      <c r="D35" s="120">
        <v>6364049.3827160494</v>
      </c>
      <c r="E35" s="77">
        <f>E22/E30</f>
        <v>7534123.6166478274</v>
      </c>
      <c r="F35" s="77">
        <f>F22/F30</f>
        <v>24687292.111620735</v>
      </c>
    </row>
    <row r="36" spans="1:11" x14ac:dyDescent="0.2">
      <c r="A36" s="78" t="s">
        <v>37</v>
      </c>
      <c r="B36" s="94">
        <f>B35-B22</f>
        <v>0</v>
      </c>
      <c r="C36" s="93">
        <f>C35-C22</f>
        <v>3491239.5061728396</v>
      </c>
      <c r="D36" s="120">
        <v>4864049.3827160494</v>
      </c>
      <c r="E36" s="77">
        <f>E35-E22</f>
        <v>534123.61664782744</v>
      </c>
      <c r="F36" s="77">
        <f>F35-F22</f>
        <v>14187292.111620735</v>
      </c>
    </row>
    <row r="39" spans="1:11" x14ac:dyDescent="0.2">
      <c r="A39" s="29" t="s">
        <v>61</v>
      </c>
      <c r="B39" s="74">
        <f>SUM(B33:F33,C11)</f>
        <v>19885489.461418498</v>
      </c>
    </row>
    <row r="40" spans="1:11" x14ac:dyDescent="0.2">
      <c r="A40" s="29" t="s">
        <v>59</v>
      </c>
      <c r="B40" s="69">
        <f>B17/B39</f>
        <v>4.5762011629915733</v>
      </c>
    </row>
    <row r="41" spans="1:11" x14ac:dyDescent="0.2">
      <c r="A41" s="29" t="s">
        <v>60</v>
      </c>
      <c r="B41" s="28"/>
      <c r="C41" s="28"/>
      <c r="D41" s="64">
        <f>($B$40/D34)^(1/D25)-1</f>
        <v>-0.12114527691115229</v>
      </c>
      <c r="E41" s="64"/>
      <c r="F41" s="64">
        <f>($B$40/E34)^(1/E25)-1</f>
        <v>0.44256517283282015</v>
      </c>
      <c r="G41" s="64">
        <f>($B$40/F34)^(1/F25)-1</f>
        <v>0.34959236129565907</v>
      </c>
    </row>
    <row r="42" spans="1:11" x14ac:dyDescent="0.2">
      <c r="A42" s="27" t="s">
        <v>62</v>
      </c>
    </row>
    <row r="44" spans="1:11" x14ac:dyDescent="0.2">
      <c r="A44" s="34" t="s">
        <v>65</v>
      </c>
    </row>
    <row r="45" spans="1:11" x14ac:dyDescent="0.2">
      <c r="A45" s="26" t="s">
        <v>67</v>
      </c>
      <c r="B45" s="79">
        <v>6</v>
      </c>
    </row>
    <row r="46" spans="1:11" ht="19" x14ac:dyDescent="0.35">
      <c r="A46" s="55" t="s">
        <v>66</v>
      </c>
      <c r="B46" s="56" t="s">
        <v>1</v>
      </c>
      <c r="C46" s="56" t="s">
        <v>2</v>
      </c>
      <c r="D46" s="56" t="s">
        <v>64</v>
      </c>
      <c r="E46" s="56" t="s">
        <v>68</v>
      </c>
      <c r="F46" s="98"/>
      <c r="K46" s="44"/>
    </row>
    <row r="47" spans="1:11" x14ac:dyDescent="0.2">
      <c r="A47" s="32" t="s">
        <v>7</v>
      </c>
      <c r="B47" s="46">
        <v>30000</v>
      </c>
      <c r="C47" s="47">
        <v>350000</v>
      </c>
      <c r="D47" s="80">
        <f>$B$40*C47</f>
        <v>1601670.4070470508</v>
      </c>
      <c r="E47" s="75">
        <f>(D47/B47)^(1/$B$45)-1</f>
        <v>0.94047766995913884</v>
      </c>
      <c r="F47" s="99"/>
    </row>
    <row r="48" spans="1:11" x14ac:dyDescent="0.2">
      <c r="A48" s="32" t="s">
        <v>8</v>
      </c>
      <c r="B48" s="46">
        <v>10000</v>
      </c>
      <c r="C48" s="47">
        <v>75000</v>
      </c>
      <c r="D48" s="80">
        <f t="shared" ref="D48:D50" si="2">$B$40*C48</f>
        <v>343215.08722436801</v>
      </c>
      <c r="E48" s="75">
        <f>(D48/B48)^(1/$B$45)-1</f>
        <v>0.80271772301440292</v>
      </c>
      <c r="F48" s="104">
        <f>D48+D49</f>
        <v>686430.17444873601</v>
      </c>
    </row>
    <row r="49" spans="1:6" x14ac:dyDescent="0.2">
      <c r="A49" s="32" t="s">
        <v>9</v>
      </c>
      <c r="B49" s="46">
        <v>10000</v>
      </c>
      <c r="C49" s="47">
        <v>75000</v>
      </c>
      <c r="D49" s="80">
        <f t="shared" si="2"/>
        <v>343215.08722436801</v>
      </c>
      <c r="E49" s="75">
        <f>(D49/B49)^(1/$B$45)-1</f>
        <v>0.80271772301440292</v>
      </c>
      <c r="F49" s="99"/>
    </row>
    <row r="50" spans="1:6" x14ac:dyDescent="0.2">
      <c r="A50" s="32" t="s">
        <v>63</v>
      </c>
      <c r="B50" s="54">
        <v>400000</v>
      </c>
      <c r="C50" s="68">
        <f>C33</f>
        <v>57286.244511836332</v>
      </c>
      <c r="D50" s="80">
        <f t="shared" si="2"/>
        <v>262153.37875848508</v>
      </c>
      <c r="E50" s="75">
        <f>(D50/B50)^(1/$B$45)-1</f>
        <v>-6.8000002135439774E-2</v>
      </c>
      <c r="F50" s="9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F2466-F5A6-BC43-880B-4D266B791597}">
  <dimension ref="A7:Q53"/>
  <sheetViews>
    <sheetView topLeftCell="A7" zoomScaleNormal="100" workbookViewId="0">
      <selection activeCell="D22" sqref="D22:D28"/>
    </sheetView>
  </sheetViews>
  <sheetFormatPr baseColWidth="10" defaultRowHeight="16" x14ac:dyDescent="0.2"/>
  <cols>
    <col min="1" max="1" width="33.5" style="26" bestFit="1" customWidth="1"/>
    <col min="2" max="2" width="21.6640625" style="26" bestFit="1" customWidth="1"/>
    <col min="3" max="3" width="20.33203125" style="26" bestFit="1" customWidth="1"/>
    <col min="4" max="4" width="20.1640625" style="26" bestFit="1" customWidth="1"/>
    <col min="5" max="5" width="20.33203125" style="26" bestFit="1" customWidth="1"/>
    <col min="6" max="6" width="20.33203125" style="26" customWidth="1"/>
    <col min="7" max="7" width="28.5" style="26" customWidth="1"/>
    <col min="8" max="8" width="28.1640625" style="26" customWidth="1"/>
    <col min="9" max="9" width="12.6640625" style="26" bestFit="1" customWidth="1"/>
    <col min="10" max="16384" width="10.83203125" style="26"/>
  </cols>
  <sheetData>
    <row r="7" spans="1:10" s="31" customFormat="1" ht="19" x14ac:dyDescent="0.35">
      <c r="A7" s="55" t="s">
        <v>14</v>
      </c>
      <c r="B7" s="56" t="s">
        <v>1</v>
      </c>
      <c r="C7" s="56" t="s">
        <v>2</v>
      </c>
      <c r="D7" s="56" t="s">
        <v>3</v>
      </c>
      <c r="G7" s="30" t="s">
        <v>15</v>
      </c>
      <c r="I7" s="26"/>
      <c r="J7" s="26"/>
    </row>
    <row r="8" spans="1:10" s="31" customFormat="1" x14ac:dyDescent="0.2">
      <c r="A8" s="32" t="s">
        <v>7</v>
      </c>
      <c r="B8" s="46">
        <v>30000</v>
      </c>
      <c r="C8" s="47">
        <v>350000</v>
      </c>
      <c r="D8" s="70">
        <f>B8/C8</f>
        <v>8.5714285714285715E-2</v>
      </c>
      <c r="G8" s="33" t="s">
        <v>51</v>
      </c>
      <c r="H8" s="54">
        <v>400000</v>
      </c>
    </row>
    <row r="9" spans="1:10" s="31" customFormat="1" x14ac:dyDescent="0.2">
      <c r="A9" s="32" t="s">
        <v>8</v>
      </c>
      <c r="B9" s="46">
        <v>10000</v>
      </c>
      <c r="C9" s="47">
        <v>75000</v>
      </c>
      <c r="D9" s="70">
        <f t="shared" ref="D9:D10" si="0">B9/C9</f>
        <v>0.13333333333333333</v>
      </c>
      <c r="G9" s="33" t="s">
        <v>45</v>
      </c>
      <c r="H9" s="54">
        <v>1000000</v>
      </c>
    </row>
    <row r="10" spans="1:10" s="31" customFormat="1" x14ac:dyDescent="0.2">
      <c r="A10" s="32" t="s">
        <v>9</v>
      </c>
      <c r="B10" s="46">
        <v>10000</v>
      </c>
      <c r="C10" s="47">
        <v>75000</v>
      </c>
      <c r="D10" s="70">
        <f t="shared" si="0"/>
        <v>0.13333333333333333</v>
      </c>
      <c r="G10" s="33" t="s">
        <v>42</v>
      </c>
      <c r="H10" s="50">
        <v>0.2</v>
      </c>
    </row>
    <row r="11" spans="1:10" s="31" customFormat="1" x14ac:dyDescent="0.2">
      <c r="A11" s="32" t="s">
        <v>5</v>
      </c>
      <c r="B11" s="39">
        <f>SUM(B8:B10)</f>
        <v>50000</v>
      </c>
      <c r="C11" s="45">
        <f>SUM(C8:C10)</f>
        <v>500000</v>
      </c>
      <c r="D11" s="32"/>
      <c r="G11" s="33" t="s">
        <v>43</v>
      </c>
      <c r="H11" s="46">
        <v>4000000</v>
      </c>
    </row>
    <row r="12" spans="1:10" s="31" customFormat="1" x14ac:dyDescent="0.2">
      <c r="C12" s="3"/>
      <c r="D12" s="4"/>
      <c r="G12" s="33" t="s">
        <v>46</v>
      </c>
      <c r="H12" s="58" t="str">
        <f>IF(H9&lt;D22,"YES","NO")</f>
        <v>YES</v>
      </c>
    </row>
    <row r="13" spans="1:10" x14ac:dyDescent="0.2">
      <c r="A13" s="34" t="s">
        <v>26</v>
      </c>
      <c r="B13" s="34"/>
      <c r="C13" s="27"/>
      <c r="G13" s="29" t="s">
        <v>50</v>
      </c>
      <c r="H13" s="59">
        <f>D39*(1-H10)</f>
        <v>302632.55967078323</v>
      </c>
      <c r="I13" s="31"/>
      <c r="J13" s="31"/>
    </row>
    <row r="14" spans="1:10" x14ac:dyDescent="0.2">
      <c r="A14" s="41" t="s">
        <v>29</v>
      </c>
      <c r="B14" s="46">
        <v>750000</v>
      </c>
      <c r="G14" s="29" t="s">
        <v>49</v>
      </c>
      <c r="H14" s="66">
        <f>MIN(H13,H11)</f>
        <v>302632.55967078323</v>
      </c>
      <c r="I14" s="27" t="s">
        <v>47</v>
      </c>
    </row>
    <row r="15" spans="1:10" x14ac:dyDescent="0.2">
      <c r="A15" s="42" t="s">
        <v>30</v>
      </c>
      <c r="B15" s="46">
        <v>6500000</v>
      </c>
      <c r="G15" s="33" t="s">
        <v>48</v>
      </c>
      <c r="H15" s="63">
        <f>H8/H14</f>
        <v>1.3217348471530534</v>
      </c>
    </row>
    <row r="16" spans="1:10" x14ac:dyDescent="0.2">
      <c r="A16" s="42" t="s">
        <v>27</v>
      </c>
      <c r="B16" s="67">
        <v>14</v>
      </c>
      <c r="G16" s="29" t="s">
        <v>52</v>
      </c>
      <c r="H16" s="61">
        <f>H15/(1-H15)*C11</f>
        <v>-2054074.7432998563</v>
      </c>
    </row>
    <row r="17" spans="1:17" x14ac:dyDescent="0.2">
      <c r="A17" s="35" t="s">
        <v>28</v>
      </c>
      <c r="B17" s="39">
        <f>B16*B15</f>
        <v>91000000</v>
      </c>
      <c r="G17" s="29" t="s">
        <v>54</v>
      </c>
      <c r="H17" s="62">
        <f>H8/H16</f>
        <v>-0.19473488065843353</v>
      </c>
    </row>
    <row r="19" spans="1:17" ht="23" x14ac:dyDescent="0.25">
      <c r="A19" s="81" t="s">
        <v>87</v>
      </c>
      <c r="D19" s="26" t="s">
        <v>90</v>
      </c>
    </row>
    <row r="20" spans="1:17" x14ac:dyDescent="0.2">
      <c r="A20" s="30" t="s">
        <v>78</v>
      </c>
      <c r="B20" s="83">
        <v>0.1</v>
      </c>
      <c r="C20" s="31"/>
      <c r="D20" s="31"/>
      <c r="E20" s="31"/>
      <c r="F20" s="31"/>
      <c r="G20" s="31"/>
      <c r="H20" s="31"/>
      <c r="I20" s="31"/>
      <c r="J20" s="31"/>
      <c r="K20" s="31"/>
      <c r="L20" s="31"/>
      <c r="M20" s="31"/>
      <c r="N20" s="31"/>
      <c r="O20" s="31"/>
      <c r="P20" s="31"/>
      <c r="Q20" s="31"/>
    </row>
    <row r="21" spans="1:17" ht="24" customHeight="1" x14ac:dyDescent="0.2">
      <c r="A21" s="57" t="s">
        <v>81</v>
      </c>
      <c r="B21" s="57" t="s">
        <v>79</v>
      </c>
      <c r="C21" s="57" t="s">
        <v>53</v>
      </c>
      <c r="D21" s="57" t="s">
        <v>13</v>
      </c>
      <c r="E21" s="57" t="s">
        <v>19</v>
      </c>
      <c r="F21" s="57" t="s">
        <v>18</v>
      </c>
      <c r="G21" s="31"/>
      <c r="H21" s="31"/>
      <c r="I21" s="31"/>
      <c r="J21" s="31"/>
      <c r="K21" s="31"/>
      <c r="L21" s="31"/>
      <c r="M21" s="31"/>
      <c r="N21" s="31"/>
      <c r="O21" s="31"/>
      <c r="P21" s="31"/>
      <c r="Q21" s="31"/>
    </row>
    <row r="22" spans="1:17" x14ac:dyDescent="0.2">
      <c r="A22" s="33" t="s">
        <v>32</v>
      </c>
      <c r="B22" s="94">
        <v>0</v>
      </c>
      <c r="C22" s="85">
        <v>400000</v>
      </c>
      <c r="D22" s="46">
        <v>1500000</v>
      </c>
      <c r="E22" s="46">
        <v>7000000</v>
      </c>
      <c r="F22" s="46">
        <v>10500000</v>
      </c>
      <c r="G22" s="1"/>
      <c r="I22" s="1"/>
      <c r="J22" s="27" t="s">
        <v>36</v>
      </c>
      <c r="K22" s="31"/>
      <c r="L22" s="31"/>
      <c r="M22" s="31"/>
      <c r="N22" s="31"/>
      <c r="O22" s="31"/>
      <c r="P22" s="31"/>
      <c r="Q22" s="31"/>
    </row>
    <row r="23" spans="1:17" ht="51" x14ac:dyDescent="0.2">
      <c r="A23" s="37" t="s">
        <v>21</v>
      </c>
      <c r="B23" s="28" t="s">
        <v>0</v>
      </c>
      <c r="C23" s="86" t="s">
        <v>0</v>
      </c>
      <c r="D23" s="48" t="s">
        <v>23</v>
      </c>
      <c r="E23" s="48" t="s">
        <v>22</v>
      </c>
      <c r="F23" s="49" t="s">
        <v>24</v>
      </c>
      <c r="G23" s="1"/>
      <c r="H23" s="31"/>
      <c r="I23" s="1"/>
      <c r="J23" s="31"/>
      <c r="K23" s="31"/>
      <c r="L23" s="31"/>
      <c r="M23" s="31"/>
      <c r="N23" s="31"/>
      <c r="O23" s="31"/>
      <c r="P23" s="31"/>
      <c r="Q23" s="31"/>
    </row>
    <row r="24" spans="1:17" x14ac:dyDescent="0.2">
      <c r="A24" s="33" t="s">
        <v>31</v>
      </c>
      <c r="B24" s="28" t="s">
        <v>0</v>
      </c>
      <c r="C24" s="87" t="s">
        <v>0</v>
      </c>
      <c r="D24" s="50">
        <v>0.5</v>
      </c>
      <c r="E24" s="51">
        <v>0.4</v>
      </c>
      <c r="F24" s="51">
        <v>0.3</v>
      </c>
      <c r="G24" s="36"/>
      <c r="H24" s="27"/>
      <c r="I24" s="36"/>
      <c r="J24" s="31"/>
      <c r="K24" s="31"/>
      <c r="L24" s="31"/>
      <c r="M24" s="31"/>
      <c r="N24" s="31"/>
      <c r="O24" s="31"/>
      <c r="P24" s="31"/>
      <c r="Q24" s="31"/>
    </row>
    <row r="25" spans="1:17" x14ac:dyDescent="0.2">
      <c r="A25" s="33" t="s">
        <v>33</v>
      </c>
      <c r="B25" s="28" t="s">
        <v>0</v>
      </c>
      <c r="C25" s="87">
        <f>2032-2024</f>
        <v>8</v>
      </c>
      <c r="D25" s="52">
        <v>5</v>
      </c>
      <c r="E25" s="52">
        <f>2032-2027</f>
        <v>5</v>
      </c>
      <c r="F25" s="53">
        <f>2032-2028</f>
        <v>4</v>
      </c>
      <c r="G25" s="1"/>
      <c r="H25" s="31"/>
      <c r="I25" s="1"/>
      <c r="J25" s="31"/>
      <c r="K25" s="31"/>
      <c r="L25" s="31"/>
      <c r="M25" s="31"/>
      <c r="N25" s="31"/>
      <c r="O25" s="31"/>
      <c r="P25" s="31"/>
      <c r="Q25" s="31"/>
    </row>
    <row r="26" spans="1:17" x14ac:dyDescent="0.2">
      <c r="A26" s="33" t="s">
        <v>34</v>
      </c>
      <c r="B26" s="28" t="s">
        <v>0</v>
      </c>
      <c r="C26" s="87" t="s">
        <v>0</v>
      </c>
      <c r="D26" s="39">
        <f>D22*(1+D24)^D25</f>
        <v>11390625</v>
      </c>
      <c r="E26" s="39">
        <f>E22*(1+E24)^E25</f>
        <v>37647679.999999985</v>
      </c>
      <c r="F26" s="39">
        <f>F22*(1+F24)^F25</f>
        <v>29989050.000000004</v>
      </c>
    </row>
    <row r="27" spans="1:17" x14ac:dyDescent="0.2">
      <c r="A27" s="78" t="s">
        <v>76</v>
      </c>
      <c r="B27" s="38">
        <v>0.1</v>
      </c>
      <c r="C27" s="88" t="s">
        <v>0</v>
      </c>
      <c r="D27" s="73">
        <f>D26/$B$17</f>
        <v>0.1251717032967033</v>
      </c>
      <c r="E27" s="73">
        <f>E26/$B$17</f>
        <v>0.41371076923076905</v>
      </c>
      <c r="F27" s="73">
        <f>F26/$B$17</f>
        <v>0.32955000000000007</v>
      </c>
    </row>
    <row r="28" spans="1:17" x14ac:dyDescent="0.2">
      <c r="A28" s="29" t="s">
        <v>77</v>
      </c>
      <c r="B28" s="38" t="s">
        <v>0</v>
      </c>
      <c r="C28" s="88"/>
      <c r="D28" s="75">
        <f>D27*(1-$B$20)</f>
        <v>0.11265453296703297</v>
      </c>
      <c r="E28" s="75">
        <f>E27*(1-$B$20)</f>
        <v>0.37233969230769215</v>
      </c>
      <c r="F28" s="75">
        <f>F27*(1-$B$20)</f>
        <v>0.29659500000000005</v>
      </c>
    </row>
    <row r="29" spans="1:17" x14ac:dyDescent="0.2">
      <c r="A29" s="29" t="s">
        <v>39</v>
      </c>
      <c r="B29" s="28" t="s">
        <v>0</v>
      </c>
      <c r="C29" s="88" t="s">
        <v>0</v>
      </c>
      <c r="D29" s="110">
        <f>1-B27-E27-F27</f>
        <v>0.15673923076923091</v>
      </c>
      <c r="E29" s="73">
        <f>1-B27-F27</f>
        <v>0.5704499999999999</v>
      </c>
      <c r="F29" s="40">
        <f>1-B27</f>
        <v>0.9</v>
      </c>
    </row>
    <row r="30" spans="1:17" x14ac:dyDescent="0.2">
      <c r="A30" s="78" t="s">
        <v>40</v>
      </c>
      <c r="B30" s="38">
        <v>0.1</v>
      </c>
      <c r="C30" s="89">
        <f>H15</f>
        <v>1.3217348471530534</v>
      </c>
      <c r="D30" s="103">
        <f>D27/D29</f>
        <v>0.79859842799021474</v>
      </c>
      <c r="E30" s="103">
        <f>E27/E29</f>
        <v>0.72523581248272262</v>
      </c>
      <c r="F30" s="103">
        <f>F27/F29</f>
        <v>0.36616666666666675</v>
      </c>
    </row>
    <row r="31" spans="1:17" x14ac:dyDescent="0.2">
      <c r="A31" s="29" t="s">
        <v>55</v>
      </c>
      <c r="B31" s="95">
        <f>B30/(1-B30)*$C$11</f>
        <v>55555.555555555562</v>
      </c>
      <c r="C31" s="26" t="s">
        <v>0</v>
      </c>
      <c r="D31" s="71">
        <f>D30/(1-D30)*$C$11</f>
        <v>1982602.2707295804</v>
      </c>
      <c r="E31" s="71">
        <f>E30/(1-E30)*($C$11+D31)</f>
        <v>6552790.1985800257</v>
      </c>
      <c r="F31" s="71">
        <f>F30/(1-F30)*($C$11+D31+E31)</f>
        <v>5219762.6229485171</v>
      </c>
      <c r="G31" s="27" t="s">
        <v>41</v>
      </c>
    </row>
    <row r="32" spans="1:17" x14ac:dyDescent="0.2">
      <c r="A32" s="29"/>
      <c r="B32" s="95"/>
      <c r="D32" s="108">
        <v>171859</v>
      </c>
      <c r="E32" s="108">
        <v>1924567</v>
      </c>
      <c r="F32" s="108">
        <v>1533054</v>
      </c>
      <c r="G32" s="27"/>
    </row>
    <row r="33" spans="1:7" x14ac:dyDescent="0.2">
      <c r="A33" s="29" t="s">
        <v>57</v>
      </c>
      <c r="B33" s="28">
        <f>B22/B31</f>
        <v>0</v>
      </c>
      <c r="C33" s="90" t="s">
        <v>0</v>
      </c>
      <c r="D33" s="43">
        <f>D22/D31</f>
        <v>0.75658139917695799</v>
      </c>
      <c r="E33" s="43">
        <f>E22/E31</f>
        <v>1.0682472332956552</v>
      </c>
      <c r="F33" s="43">
        <f>F22/F31</f>
        <v>2.0115857287910166</v>
      </c>
    </row>
    <row r="34" spans="1:7" x14ac:dyDescent="0.2">
      <c r="A34" s="29"/>
      <c r="B34" s="28"/>
      <c r="C34" s="90"/>
      <c r="D34" s="109">
        <v>8.73</v>
      </c>
      <c r="E34" s="109">
        <v>3.64</v>
      </c>
      <c r="F34" s="109">
        <v>6.85</v>
      </c>
    </row>
    <row r="35" spans="1:7" x14ac:dyDescent="0.2">
      <c r="A35" s="78" t="s">
        <v>56</v>
      </c>
      <c r="B35" s="97">
        <f>B30/(1-B30)*($C$11+C35+D35+E35+F35)</f>
        <v>-4923016.9979334855</v>
      </c>
      <c r="C35" s="91">
        <f>H16</f>
        <v>-2054074.7432998563</v>
      </c>
      <c r="D35" s="76">
        <f>D30/(1-D30)*($C$11+C35)</f>
        <v>-6162224.2298995703</v>
      </c>
      <c r="E35" s="76">
        <f>E30/(1-E30)*($C$11+C35+D35)</f>
        <v>-20367051.491512138</v>
      </c>
      <c r="F35" s="76">
        <f>F30/(1-F30)*($C$11+C35+D35+E35)</f>
        <v>-16223802.516689805</v>
      </c>
      <c r="G35" s="27"/>
    </row>
    <row r="36" spans="1:7" x14ac:dyDescent="0.2">
      <c r="A36" s="78" t="s">
        <v>58</v>
      </c>
      <c r="B36" s="96">
        <f>B22/B35</f>
        <v>0</v>
      </c>
      <c r="C36" s="92">
        <f>C22/C35</f>
        <v>-0.19473488065843353</v>
      </c>
      <c r="D36" s="77">
        <f>D22/D35</f>
        <v>-0.24341860082304184</v>
      </c>
      <c r="E36" s="77">
        <f>E22/E35</f>
        <v>-0.34369236032604983</v>
      </c>
      <c r="F36" s="77">
        <f>F22/F35</f>
        <v>-0.6471972269878411</v>
      </c>
      <c r="G36" s="27"/>
    </row>
    <row r="37" spans="1:7" x14ac:dyDescent="0.2">
      <c r="A37" s="78" t="s">
        <v>38</v>
      </c>
      <c r="B37" s="94">
        <f>B22/B30</f>
        <v>0</v>
      </c>
      <c r="C37" s="93">
        <f>H14</f>
        <v>302632.55967078323</v>
      </c>
      <c r="D37" s="77">
        <f>D22/D30</f>
        <v>1878290.699588479</v>
      </c>
      <c r="E37" s="77">
        <f>E22/E30</f>
        <v>9652033.0070803855</v>
      </c>
      <c r="F37" s="77">
        <f>F22/F30</f>
        <v>28675466.545289025</v>
      </c>
    </row>
    <row r="38" spans="1:7" x14ac:dyDescent="0.2">
      <c r="A38" s="78"/>
      <c r="B38" s="94"/>
      <c r="C38" s="93"/>
      <c r="D38" s="111">
        <v>6364000</v>
      </c>
      <c r="E38" s="109">
        <v>965200</v>
      </c>
      <c r="F38" s="109">
        <v>28675000</v>
      </c>
    </row>
    <row r="39" spans="1:7" x14ac:dyDescent="0.2">
      <c r="A39" s="78" t="s">
        <v>37</v>
      </c>
      <c r="B39" s="94">
        <f>B37-B22</f>
        <v>0</v>
      </c>
      <c r="C39" s="93">
        <f>C37-C22</f>
        <v>-97367.44032921677</v>
      </c>
      <c r="D39" s="77">
        <f>D37-D22</f>
        <v>378290.69958847901</v>
      </c>
      <c r="E39" s="77">
        <f>E37-E22</f>
        <v>2652033.0070803855</v>
      </c>
      <c r="F39" s="77">
        <f>F37-F22</f>
        <v>18175466.545289025</v>
      </c>
    </row>
    <row r="40" spans="1:7" x14ac:dyDescent="0.2">
      <c r="D40" s="111">
        <v>4864000</v>
      </c>
      <c r="E40" s="111">
        <v>2652000</v>
      </c>
      <c r="F40" s="111">
        <v>18175000</v>
      </c>
    </row>
    <row r="42" spans="1:7" x14ac:dyDescent="0.2">
      <c r="A42" s="29" t="s">
        <v>61</v>
      </c>
      <c r="B42" s="74">
        <f>SUM(B35:F35,C11)</f>
        <v>-49230169.979334854</v>
      </c>
    </row>
    <row r="43" spans="1:7" x14ac:dyDescent="0.2">
      <c r="A43" s="29" t="s">
        <v>59</v>
      </c>
      <c r="B43" s="69">
        <f>B17/B42</f>
        <v>-1.8484599999999736</v>
      </c>
    </row>
    <row r="44" spans="1:7" x14ac:dyDescent="0.2">
      <c r="A44" s="29" t="s">
        <v>60</v>
      </c>
      <c r="B44" s="28"/>
      <c r="C44" s="28"/>
      <c r="D44" s="64">
        <f>($B$43/D36)^(1/D25)-1</f>
        <v>0.5</v>
      </c>
      <c r="E44" s="64">
        <f>($B$43/E36)^(1/E25)-1</f>
        <v>0.39999999999999991</v>
      </c>
      <c r="F44" s="64">
        <f>($B$43/F36)^(1/F25)-1</f>
        <v>0.30000000000000004</v>
      </c>
    </row>
    <row r="45" spans="1:7" x14ac:dyDescent="0.2">
      <c r="A45" s="27" t="s">
        <v>62</v>
      </c>
      <c r="D45" s="106">
        <v>0.122</v>
      </c>
      <c r="E45" s="105">
        <v>40</v>
      </c>
      <c r="F45" s="105">
        <v>30</v>
      </c>
    </row>
    <row r="47" spans="1:7" x14ac:dyDescent="0.2">
      <c r="A47" s="34" t="s">
        <v>65</v>
      </c>
    </row>
    <row r="48" spans="1:7" x14ac:dyDescent="0.2">
      <c r="A48" s="26" t="s">
        <v>84</v>
      </c>
      <c r="B48" s="79">
        <f>2032-2024</f>
        <v>8</v>
      </c>
    </row>
    <row r="49" spans="1:10" ht="19" x14ac:dyDescent="0.35">
      <c r="A49" s="55" t="s">
        <v>66</v>
      </c>
      <c r="B49" s="56" t="s">
        <v>1</v>
      </c>
      <c r="C49" s="56" t="s">
        <v>2</v>
      </c>
      <c r="D49" s="56" t="s">
        <v>64</v>
      </c>
      <c r="E49" s="56" t="s">
        <v>68</v>
      </c>
      <c r="F49" s="98"/>
      <c r="J49" s="44"/>
    </row>
    <row r="50" spans="1:10" x14ac:dyDescent="0.2">
      <c r="A50" s="32" t="s">
        <v>7</v>
      </c>
      <c r="B50" s="46">
        <v>30000</v>
      </c>
      <c r="C50" s="47">
        <v>350000</v>
      </c>
      <c r="D50" s="80">
        <f>$B$43*C50</f>
        <v>-646960.9999999908</v>
      </c>
      <c r="E50" s="75" t="e">
        <f>(D50/B50)^(1/$B$48)-1</f>
        <v>#NUM!</v>
      </c>
      <c r="F50" s="27">
        <v>6847000</v>
      </c>
      <c r="G50" s="107">
        <v>0.97</v>
      </c>
    </row>
    <row r="51" spans="1:10" x14ac:dyDescent="0.2">
      <c r="A51" s="32" t="s">
        <v>8</v>
      </c>
      <c r="B51" s="46">
        <v>10000</v>
      </c>
      <c r="C51" s="47">
        <v>75000</v>
      </c>
      <c r="D51" s="80">
        <f t="shared" ref="D51:D53" si="1">$B$43*C51</f>
        <v>-138634.49999999802</v>
      </c>
      <c r="E51" s="75" t="e">
        <f t="shared" ref="E51:E53" si="2">(D51/B51)^(1/$B$48)-1</f>
        <v>#NUM!</v>
      </c>
      <c r="F51" s="27" t="s">
        <v>88</v>
      </c>
      <c r="G51" s="107">
        <v>0.87</v>
      </c>
    </row>
    <row r="52" spans="1:10" x14ac:dyDescent="0.2">
      <c r="A52" s="32" t="s">
        <v>9</v>
      </c>
      <c r="B52" s="46">
        <v>10000</v>
      </c>
      <c r="C52" s="47">
        <v>75000</v>
      </c>
      <c r="D52" s="80">
        <f t="shared" si="1"/>
        <v>-138634.49999999802</v>
      </c>
      <c r="E52" s="75" t="e">
        <f t="shared" si="2"/>
        <v>#NUM!</v>
      </c>
      <c r="F52" s="27">
        <v>1121000</v>
      </c>
      <c r="G52" s="107">
        <v>0.14000000000000001</v>
      </c>
    </row>
    <row r="53" spans="1:10" x14ac:dyDescent="0.2">
      <c r="A53" s="32" t="s">
        <v>63</v>
      </c>
      <c r="B53" s="54">
        <v>400000</v>
      </c>
      <c r="C53" s="68">
        <f>C35</f>
        <v>-2054074.7432998563</v>
      </c>
      <c r="D53" s="80">
        <f t="shared" si="1"/>
        <v>3796874.9999999981</v>
      </c>
      <c r="E53" s="75">
        <f t="shared" si="2"/>
        <v>0.32486244172387058</v>
      </c>
      <c r="F53" s="2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9CD10-D0E0-D541-9942-9803788B9832}">
  <dimension ref="A7:Q56"/>
  <sheetViews>
    <sheetView topLeftCell="A17" zoomScale="118" workbookViewId="0">
      <selection activeCell="D37" sqref="D37"/>
    </sheetView>
  </sheetViews>
  <sheetFormatPr baseColWidth="10" defaultRowHeight="16" x14ac:dyDescent="0.2"/>
  <cols>
    <col min="1" max="1" width="35.5" style="26" customWidth="1"/>
    <col min="2" max="2" width="21.6640625" style="26" bestFit="1" customWidth="1"/>
    <col min="3" max="3" width="20.33203125" style="26" bestFit="1" customWidth="1"/>
    <col min="4" max="4" width="20.1640625" style="26" bestFit="1" customWidth="1"/>
    <col min="5" max="5" width="20.33203125" style="26" bestFit="1" customWidth="1"/>
    <col min="6" max="6" width="20.33203125" style="26" customWidth="1"/>
    <col min="7" max="7" width="28.5" style="26" customWidth="1"/>
    <col min="8" max="8" width="28.1640625" style="26" customWidth="1"/>
    <col min="9" max="9" width="12.6640625" style="26" bestFit="1" customWidth="1"/>
    <col min="10" max="16384" width="10.83203125" style="26"/>
  </cols>
  <sheetData>
    <row r="7" spans="1:10" s="31" customFormat="1" ht="19" x14ac:dyDescent="0.35">
      <c r="A7" s="55" t="s">
        <v>14</v>
      </c>
      <c r="B7" s="56" t="s">
        <v>1</v>
      </c>
      <c r="C7" s="56" t="s">
        <v>2</v>
      </c>
      <c r="D7" s="56" t="s">
        <v>3</v>
      </c>
      <c r="G7" s="30" t="s">
        <v>15</v>
      </c>
      <c r="I7" s="26"/>
      <c r="J7" s="26"/>
    </row>
    <row r="8" spans="1:10" s="31" customFormat="1" x14ac:dyDescent="0.2">
      <c r="A8" s="32" t="s">
        <v>7</v>
      </c>
      <c r="B8" s="46">
        <v>30000</v>
      </c>
      <c r="C8" s="47">
        <v>350000</v>
      </c>
      <c r="D8" s="70">
        <f>B8/C8</f>
        <v>8.5714285714285715E-2</v>
      </c>
      <c r="G8" s="33" t="s">
        <v>51</v>
      </c>
      <c r="H8" s="54">
        <v>400000</v>
      </c>
    </row>
    <row r="9" spans="1:10" s="31" customFormat="1" x14ac:dyDescent="0.2">
      <c r="A9" s="32" t="s">
        <v>8</v>
      </c>
      <c r="B9" s="46">
        <v>10000</v>
      </c>
      <c r="C9" s="47">
        <v>75000</v>
      </c>
      <c r="D9" s="70">
        <f t="shared" ref="D9:D10" si="0">B9/C9</f>
        <v>0.13333333333333333</v>
      </c>
      <c r="G9" s="33" t="s">
        <v>45</v>
      </c>
      <c r="H9" s="54">
        <v>1000000</v>
      </c>
    </row>
    <row r="10" spans="1:10" s="31" customFormat="1" x14ac:dyDescent="0.2">
      <c r="A10" s="32" t="s">
        <v>9</v>
      </c>
      <c r="B10" s="46">
        <v>10000</v>
      </c>
      <c r="C10" s="47">
        <v>75000</v>
      </c>
      <c r="D10" s="70">
        <f t="shared" si="0"/>
        <v>0.13333333333333333</v>
      </c>
      <c r="G10" s="33" t="s">
        <v>42</v>
      </c>
      <c r="H10" s="50">
        <v>0.2</v>
      </c>
    </row>
    <row r="11" spans="1:10" s="31" customFormat="1" x14ac:dyDescent="0.2">
      <c r="A11" s="32" t="s">
        <v>5</v>
      </c>
      <c r="B11" s="39">
        <f>SUM(B8:B10)</f>
        <v>50000</v>
      </c>
      <c r="C11" s="45">
        <f>SUM(C8:C10)</f>
        <v>500000</v>
      </c>
      <c r="D11" s="32"/>
      <c r="G11" s="33" t="s">
        <v>43</v>
      </c>
      <c r="H11" s="46">
        <v>4000000</v>
      </c>
    </row>
    <row r="12" spans="1:10" s="31" customFormat="1" x14ac:dyDescent="0.2">
      <c r="C12" s="3"/>
      <c r="D12" s="4"/>
      <c r="G12" s="33" t="s">
        <v>46</v>
      </c>
      <c r="H12" s="58" t="str">
        <f>IF(H9&lt;D22,"YES","NO")</f>
        <v>YES</v>
      </c>
    </row>
    <row r="13" spans="1:10" x14ac:dyDescent="0.2">
      <c r="A13" s="34" t="s">
        <v>26</v>
      </c>
      <c r="B13" s="34"/>
      <c r="C13" s="27"/>
      <c r="G13" s="29" t="s">
        <v>50</v>
      </c>
      <c r="H13" s="59">
        <f>D36*(1-H10)</f>
        <v>4456932.7846364891</v>
      </c>
      <c r="I13" s="31"/>
      <c r="J13" s="31"/>
    </row>
    <row r="14" spans="1:10" x14ac:dyDescent="0.2">
      <c r="A14" s="41" t="s">
        <v>29</v>
      </c>
      <c r="B14" s="46">
        <v>750000</v>
      </c>
      <c r="G14" s="29" t="s">
        <v>49</v>
      </c>
      <c r="H14" s="66">
        <f>MIN(H13,H11)</f>
        <v>4000000</v>
      </c>
      <c r="I14" s="27" t="s">
        <v>47</v>
      </c>
    </row>
    <row r="15" spans="1:10" x14ac:dyDescent="0.2">
      <c r="A15" s="42" t="s">
        <v>30</v>
      </c>
      <c r="B15" s="46">
        <v>6500000</v>
      </c>
      <c r="G15" s="33" t="s">
        <v>48</v>
      </c>
      <c r="H15" s="63">
        <f>H8/H14</f>
        <v>0.1</v>
      </c>
    </row>
    <row r="16" spans="1:10" x14ac:dyDescent="0.2">
      <c r="A16" s="42" t="s">
        <v>27</v>
      </c>
      <c r="B16" s="67">
        <v>14</v>
      </c>
      <c r="G16" s="29" t="s">
        <v>52</v>
      </c>
      <c r="H16" s="61">
        <f>H15/(1-H15)*C11</f>
        <v>55555.555555555562</v>
      </c>
    </row>
    <row r="17" spans="1:17" x14ac:dyDescent="0.2">
      <c r="A17" s="35" t="s">
        <v>28</v>
      </c>
      <c r="B17" s="39">
        <f>B16*B15</f>
        <v>91000000</v>
      </c>
      <c r="G17" s="29" t="s">
        <v>54</v>
      </c>
      <c r="H17" s="62">
        <f>H8/H16</f>
        <v>7.1999999999999993</v>
      </c>
    </row>
    <row r="19" spans="1:17" ht="23" x14ac:dyDescent="0.25">
      <c r="A19" s="81" t="s">
        <v>89</v>
      </c>
    </row>
    <row r="20" spans="1:17" x14ac:dyDescent="0.2">
      <c r="A20" s="30" t="s">
        <v>78</v>
      </c>
      <c r="B20" s="83">
        <v>0.1</v>
      </c>
      <c r="C20" s="31"/>
      <c r="D20" s="31"/>
      <c r="E20" s="31"/>
      <c r="F20" s="31"/>
      <c r="G20" s="31"/>
      <c r="H20" s="31"/>
      <c r="I20" s="31"/>
      <c r="J20" s="31"/>
      <c r="K20" s="31"/>
      <c r="L20" s="31"/>
      <c r="M20" s="31"/>
      <c r="N20" s="31"/>
      <c r="O20" s="31"/>
      <c r="P20" s="31"/>
      <c r="Q20" s="31"/>
    </row>
    <row r="21" spans="1:17" ht="24" customHeight="1" x14ac:dyDescent="0.2">
      <c r="A21" s="57" t="s">
        <v>20</v>
      </c>
      <c r="B21" s="57" t="s">
        <v>79</v>
      </c>
      <c r="C21" s="57" t="s">
        <v>53</v>
      </c>
      <c r="D21" s="57" t="s">
        <v>13</v>
      </c>
      <c r="E21" s="57" t="s">
        <v>19</v>
      </c>
      <c r="F21" s="57" t="s">
        <v>18</v>
      </c>
      <c r="G21" s="31"/>
      <c r="H21" s="31"/>
      <c r="I21" s="31"/>
      <c r="J21" s="31"/>
      <c r="K21" s="31"/>
      <c r="L21" s="31"/>
      <c r="M21" s="31"/>
      <c r="N21" s="31"/>
      <c r="O21" s="31"/>
      <c r="P21" s="31"/>
      <c r="Q21" s="31"/>
    </row>
    <row r="22" spans="1:17" x14ac:dyDescent="0.2">
      <c r="A22" s="33" t="s">
        <v>32</v>
      </c>
      <c r="B22" s="94">
        <v>0</v>
      </c>
      <c r="C22" s="85">
        <v>400000</v>
      </c>
      <c r="D22" s="46">
        <v>1500000</v>
      </c>
      <c r="E22" s="46">
        <v>7000000</v>
      </c>
      <c r="F22" s="46">
        <v>8500000</v>
      </c>
      <c r="G22" s="1"/>
      <c r="I22" s="1"/>
      <c r="J22" s="27" t="s">
        <v>36</v>
      </c>
      <c r="K22" s="31"/>
      <c r="L22" s="31"/>
      <c r="M22" s="31"/>
      <c r="N22" s="31"/>
      <c r="O22" s="31"/>
      <c r="P22" s="31"/>
      <c r="Q22" s="31"/>
    </row>
    <row r="23" spans="1:17" ht="51" x14ac:dyDescent="0.2">
      <c r="A23" s="37" t="s">
        <v>21</v>
      </c>
      <c r="B23" s="28" t="s">
        <v>0</v>
      </c>
      <c r="C23" s="86" t="s">
        <v>0</v>
      </c>
      <c r="D23" s="48" t="s">
        <v>23</v>
      </c>
      <c r="E23" s="48" t="s">
        <v>22</v>
      </c>
      <c r="F23" s="49" t="s">
        <v>24</v>
      </c>
      <c r="G23" s="1"/>
      <c r="H23" s="31"/>
      <c r="I23" s="1"/>
      <c r="J23" s="31"/>
      <c r="K23" s="31"/>
      <c r="L23" s="31"/>
      <c r="M23" s="31"/>
      <c r="N23" s="31"/>
      <c r="O23" s="31"/>
      <c r="P23" s="31"/>
      <c r="Q23" s="31"/>
    </row>
    <row r="24" spans="1:17" x14ac:dyDescent="0.2">
      <c r="A24" s="33" t="s">
        <v>31</v>
      </c>
      <c r="B24" s="28" t="s">
        <v>0</v>
      </c>
      <c r="C24" s="87" t="s">
        <v>0</v>
      </c>
      <c r="D24" s="50">
        <v>0.5</v>
      </c>
      <c r="E24" s="51">
        <v>0.4</v>
      </c>
      <c r="F24" s="51">
        <v>0.3</v>
      </c>
      <c r="G24" s="36"/>
      <c r="H24" s="27"/>
      <c r="I24" s="36"/>
      <c r="J24" s="31"/>
      <c r="K24" s="31"/>
      <c r="L24" s="31"/>
      <c r="M24" s="31"/>
      <c r="N24" s="31"/>
      <c r="O24" s="31"/>
      <c r="P24" s="31"/>
      <c r="Q24" s="31"/>
    </row>
    <row r="25" spans="1:17" x14ac:dyDescent="0.2">
      <c r="A25" s="33" t="s">
        <v>33</v>
      </c>
      <c r="B25" s="28" t="s">
        <v>0</v>
      </c>
      <c r="C25" s="87">
        <v>6</v>
      </c>
      <c r="D25" s="52">
        <v>5</v>
      </c>
      <c r="E25" s="52">
        <v>3</v>
      </c>
      <c r="F25" s="53">
        <f>2030-2028</f>
        <v>2</v>
      </c>
      <c r="G25" s="1"/>
      <c r="H25" s="31"/>
      <c r="I25" s="1"/>
      <c r="J25" s="31"/>
      <c r="K25" s="31"/>
      <c r="L25" s="31"/>
      <c r="M25" s="31"/>
      <c r="N25" s="31"/>
      <c r="O25" s="31"/>
      <c r="P25" s="31"/>
      <c r="Q25" s="31"/>
    </row>
    <row r="26" spans="1:17" x14ac:dyDescent="0.2">
      <c r="A26" s="33" t="s">
        <v>34</v>
      </c>
      <c r="B26" s="28" t="s">
        <v>0</v>
      </c>
      <c r="C26" s="87" t="s">
        <v>0</v>
      </c>
      <c r="D26" s="39">
        <f>D22*(1+D24)^D25</f>
        <v>11390625</v>
      </c>
      <c r="E26" s="39">
        <f>E22*(1+E24)^E25</f>
        <v>19207999.999999996</v>
      </c>
      <c r="F26" s="39">
        <f>F22*(1+F24)^F25</f>
        <v>14365000.000000002</v>
      </c>
    </row>
    <row r="27" spans="1:17" x14ac:dyDescent="0.2">
      <c r="A27" s="78" t="s">
        <v>76</v>
      </c>
      <c r="B27" s="38">
        <v>0.1</v>
      </c>
      <c r="C27" s="88" t="s">
        <v>0</v>
      </c>
      <c r="D27" s="73">
        <f>D26/$B$17</f>
        <v>0.1251717032967033</v>
      </c>
      <c r="E27" s="73">
        <f>E26/$B$17</f>
        <v>0.21107692307692302</v>
      </c>
      <c r="F27" s="73">
        <f>F26/$B$17</f>
        <v>0.15785714285714289</v>
      </c>
    </row>
    <row r="28" spans="1:17" x14ac:dyDescent="0.2">
      <c r="A28" s="29" t="s">
        <v>77</v>
      </c>
      <c r="B28" s="38" t="s">
        <v>0</v>
      </c>
      <c r="C28" s="88"/>
      <c r="D28" s="75">
        <f>D27*(1-$B$20)</f>
        <v>0.11265453296703297</v>
      </c>
      <c r="E28" s="75">
        <f>E27*(1-$B$20)</f>
        <v>0.18996923076923072</v>
      </c>
      <c r="F28" s="75">
        <f>F27*(1-$B$20)</f>
        <v>0.1420714285714286</v>
      </c>
    </row>
    <row r="29" spans="1:17" x14ac:dyDescent="0.2">
      <c r="A29" s="29" t="s">
        <v>39</v>
      </c>
      <c r="B29" s="28" t="s">
        <v>0</v>
      </c>
      <c r="C29" s="88" t="s">
        <v>0</v>
      </c>
      <c r="D29" s="73">
        <f>1-B27-E27-F27</f>
        <v>0.53106593406593405</v>
      </c>
      <c r="E29" s="73">
        <f>1-B27-F27</f>
        <v>0.7421428571428571</v>
      </c>
      <c r="F29" s="40">
        <f>1-B27</f>
        <v>0.9</v>
      </c>
    </row>
    <row r="30" spans="1:17" x14ac:dyDescent="0.2">
      <c r="A30" s="78" t="s">
        <v>40</v>
      </c>
      <c r="B30" s="38">
        <v>0.1</v>
      </c>
      <c r="C30" s="89">
        <f>H15</f>
        <v>0.1</v>
      </c>
      <c r="D30" s="75">
        <f t="shared" ref="D30:E30" si="1">D28/D29</f>
        <v>0.21212908932894656</v>
      </c>
      <c r="E30" s="75">
        <f t="shared" si="1"/>
        <v>0.25597393943880947</v>
      </c>
      <c r="F30" s="75">
        <f>F28/F29</f>
        <v>0.15785714285714289</v>
      </c>
    </row>
    <row r="31" spans="1:17" x14ac:dyDescent="0.2">
      <c r="A31" s="29" t="s">
        <v>55</v>
      </c>
      <c r="B31" s="95">
        <f>B30/(1-B30)*$C$11</f>
        <v>55555.555555555562</v>
      </c>
      <c r="C31" s="26" t="s">
        <v>0</v>
      </c>
      <c r="D31" s="71">
        <f>D30/(1-D30)*$C$11</f>
        <v>134621.7295599033</v>
      </c>
      <c r="E31" s="71">
        <f>E30/(1-E30)*($C$11+D31)</f>
        <v>218334.58904166863</v>
      </c>
      <c r="F31" s="71">
        <f>F30/(1-F30)*($C$11+D31+E31)</f>
        <v>159884.09364796223</v>
      </c>
      <c r="G31" s="27" t="s">
        <v>41</v>
      </c>
    </row>
    <row r="32" spans="1:17" x14ac:dyDescent="0.2">
      <c r="A32" s="29" t="s">
        <v>57</v>
      </c>
      <c r="B32" s="28">
        <f>B22/B31</f>
        <v>0</v>
      </c>
      <c r="C32" s="90" t="s">
        <v>0</v>
      </c>
      <c r="D32" s="43">
        <f>D22/D31</f>
        <v>11.14233196159122</v>
      </c>
      <c r="E32" s="43">
        <f>E22/E31</f>
        <v>32.060884309375581</v>
      </c>
      <c r="F32" s="43">
        <f>F22/F31</f>
        <v>53.163512429920416</v>
      </c>
    </row>
    <row r="33" spans="1:10" x14ac:dyDescent="0.2">
      <c r="A33" s="78" t="s">
        <v>56</v>
      </c>
      <c r="B33" s="97">
        <f>B30/(1-B30)*($C$11+C33+D33+E33+F33)</f>
        <v>125042.02620364621</v>
      </c>
      <c r="C33" s="91">
        <f>H16</f>
        <v>55555.555555555562</v>
      </c>
      <c r="D33" s="76">
        <f>D30/(1-D30)*($C$11+C33)</f>
        <v>149579.69951100365</v>
      </c>
      <c r="E33" s="76">
        <f>E30/(1-E30)*($C$11+C33+D33)</f>
        <v>242593.98782407626</v>
      </c>
      <c r="F33" s="76">
        <f>F30/(1-F30)*($C$11+C33+D33+E33)</f>
        <v>177648.99294218025</v>
      </c>
      <c r="G33" s="27"/>
    </row>
    <row r="34" spans="1:10" x14ac:dyDescent="0.2">
      <c r="A34" s="78" t="s">
        <v>58</v>
      </c>
      <c r="B34" s="96">
        <f>B22/B33</f>
        <v>0</v>
      </c>
      <c r="C34" s="92">
        <f>C22/C33</f>
        <v>7.1999999999999993</v>
      </c>
      <c r="D34" s="77">
        <f>D22/D33</f>
        <v>10.028098765432098</v>
      </c>
      <c r="E34" s="77">
        <f>E22/E33</f>
        <v>28.854795878438026</v>
      </c>
      <c r="F34" s="77">
        <f>F22/F33</f>
        <v>47.847161186928375</v>
      </c>
      <c r="G34" s="27"/>
    </row>
    <row r="35" spans="1:10" x14ac:dyDescent="0.2">
      <c r="A35" s="78" t="s">
        <v>38</v>
      </c>
      <c r="B35" s="94">
        <f>B22/B30</f>
        <v>0</v>
      </c>
      <c r="C35" s="93">
        <f>H14</f>
        <v>4000000</v>
      </c>
      <c r="D35" s="77">
        <f>D22/D30</f>
        <v>7071165.9807956107</v>
      </c>
      <c r="E35" s="77">
        <f>E22/E30</f>
        <v>27346533.851635896</v>
      </c>
      <c r="F35" s="77">
        <f>F22/F30</f>
        <v>53846153.846153833</v>
      </c>
    </row>
    <row r="36" spans="1:10" x14ac:dyDescent="0.2">
      <c r="A36" s="78" t="s">
        <v>37</v>
      </c>
      <c r="B36" s="94">
        <f>B35-B22</f>
        <v>0</v>
      </c>
      <c r="C36" s="93">
        <f>C35-C22</f>
        <v>3600000</v>
      </c>
      <c r="D36" s="77">
        <f>D35-D22</f>
        <v>5571165.9807956107</v>
      </c>
      <c r="E36" s="77">
        <f>E35-E22</f>
        <v>20346533.851635896</v>
      </c>
      <c r="F36" s="77">
        <f>F35-F22</f>
        <v>45346153.846153833</v>
      </c>
    </row>
    <row r="39" spans="1:10" x14ac:dyDescent="0.2">
      <c r="A39" s="29" t="s">
        <v>61</v>
      </c>
      <c r="B39" s="74">
        <f>SUM(B33:F33,C11)</f>
        <v>1250420.2620364618</v>
      </c>
    </row>
    <row r="40" spans="1:10" x14ac:dyDescent="0.2">
      <c r="A40" s="29" t="s">
        <v>59</v>
      </c>
      <c r="B40" s="69">
        <f>B17/B39</f>
        <v>72.775532165318083</v>
      </c>
    </row>
    <row r="41" spans="1:10" x14ac:dyDescent="0.2">
      <c r="A41" s="29" t="s">
        <v>86</v>
      </c>
      <c r="B41" s="69">
        <f>B53/B39</f>
        <v>60.379699763533139</v>
      </c>
    </row>
    <row r="42" spans="1:10" x14ac:dyDescent="0.2">
      <c r="A42" s="29" t="s">
        <v>60</v>
      </c>
      <c r="B42" s="28"/>
      <c r="C42" s="64">
        <f>($B$40/D34)^(1/D25)-1</f>
        <v>0.48646044642182051</v>
      </c>
      <c r="D42" s="64">
        <f>($B$40/E34)^(1/E25)-1</f>
        <v>0.36120163210350342</v>
      </c>
      <c r="E42" s="64">
        <f>($B$40/F34)^(1/F25)-1</f>
        <v>0.2332882874656681</v>
      </c>
      <c r="F42" s="84"/>
    </row>
    <row r="43" spans="1:10" x14ac:dyDescent="0.2">
      <c r="A43" s="27" t="s">
        <v>62</v>
      </c>
    </row>
    <row r="45" spans="1:10" x14ac:dyDescent="0.2">
      <c r="A45" s="34" t="s">
        <v>65</v>
      </c>
    </row>
    <row r="46" spans="1:10" x14ac:dyDescent="0.2">
      <c r="A46" s="26" t="s">
        <v>67</v>
      </c>
      <c r="B46" s="79">
        <f>2030-2024</f>
        <v>6</v>
      </c>
    </row>
    <row r="47" spans="1:10" ht="19" x14ac:dyDescent="0.35">
      <c r="A47" s="55" t="s">
        <v>66</v>
      </c>
      <c r="B47" s="56" t="s">
        <v>1</v>
      </c>
      <c r="C47" s="56" t="s">
        <v>2</v>
      </c>
      <c r="D47" s="56" t="s">
        <v>64</v>
      </c>
      <c r="E47" s="56" t="s">
        <v>68</v>
      </c>
      <c r="F47" s="98"/>
      <c r="J47" s="44"/>
    </row>
    <row r="48" spans="1:10" x14ac:dyDescent="0.2">
      <c r="A48" s="32" t="s">
        <v>7</v>
      </c>
      <c r="B48" s="46">
        <v>30000</v>
      </c>
      <c r="C48" s="47">
        <v>350000</v>
      </c>
      <c r="D48" s="80">
        <f>$B$41*C48</f>
        <v>21132894.9172366</v>
      </c>
      <c r="E48" s="75">
        <f>(D48/B48)^(1/$B$46)-1</f>
        <v>1.9829063807315412</v>
      </c>
      <c r="F48" s="99"/>
    </row>
    <row r="49" spans="1:6" x14ac:dyDescent="0.2">
      <c r="A49" s="32" t="s">
        <v>8</v>
      </c>
      <c r="B49" s="46">
        <v>10000</v>
      </c>
      <c r="C49" s="47">
        <v>75000</v>
      </c>
      <c r="D49" s="80">
        <f t="shared" ref="D49:D54" si="2">$B$41*C49</f>
        <v>4528477.4822649853</v>
      </c>
      <c r="E49" s="75">
        <f t="shared" ref="E49:E51" si="3">(D49/B49)^(1/$B$46)-1</f>
        <v>1.771141498758257</v>
      </c>
      <c r="F49" s="99"/>
    </row>
    <row r="50" spans="1:6" x14ac:dyDescent="0.2">
      <c r="A50" s="32" t="s">
        <v>9</v>
      </c>
      <c r="B50" s="46">
        <v>10000</v>
      </c>
      <c r="C50" s="47">
        <v>75000</v>
      </c>
      <c r="D50" s="80">
        <f t="shared" si="2"/>
        <v>4528477.4822649853</v>
      </c>
      <c r="E50" s="75">
        <f t="shared" si="3"/>
        <v>1.771141498758257</v>
      </c>
      <c r="F50" s="99"/>
    </row>
    <row r="51" spans="1:6" x14ac:dyDescent="0.2">
      <c r="A51" s="32" t="s">
        <v>63</v>
      </c>
      <c r="B51" s="54">
        <v>400000</v>
      </c>
      <c r="C51" s="68">
        <f>C33</f>
        <v>55555.555555555562</v>
      </c>
      <c r="D51" s="80">
        <f t="shared" si="2"/>
        <v>3354427.7646407303</v>
      </c>
      <c r="E51" s="75">
        <f t="shared" si="3"/>
        <v>0.42536604483009932</v>
      </c>
      <c r="F51" s="99"/>
    </row>
    <row r="52" spans="1:6" x14ac:dyDescent="0.2">
      <c r="D52" s="102"/>
      <c r="E52" s="99"/>
    </row>
    <row r="53" spans="1:6" x14ac:dyDescent="0.2">
      <c r="A53" s="26" t="s">
        <v>85</v>
      </c>
      <c r="B53" s="101">
        <f>B17-B55-B56</f>
        <v>75500000</v>
      </c>
      <c r="D53" s="102"/>
      <c r="E53" s="99"/>
    </row>
    <row r="54" spans="1:6" x14ac:dyDescent="0.2">
      <c r="A54" s="28" t="s">
        <v>4</v>
      </c>
      <c r="B54" s="94">
        <f>D22</f>
        <v>1500000</v>
      </c>
      <c r="C54" s="100">
        <f>D33</f>
        <v>149579.69951100365</v>
      </c>
      <c r="D54" s="80">
        <f t="shared" si="2"/>
        <v>9031577.3471939061</v>
      </c>
      <c r="E54" s="75">
        <f>(D54/B54)^(1/D25)-1</f>
        <v>0.43197181276406549</v>
      </c>
    </row>
    <row r="55" spans="1:6" x14ac:dyDescent="0.2">
      <c r="A55" s="28" t="s">
        <v>82</v>
      </c>
      <c r="B55" s="94">
        <f>E22</f>
        <v>7000000</v>
      </c>
      <c r="C55" s="100">
        <f>E33</f>
        <v>242593.98782407626</v>
      </c>
      <c r="D55" s="80">
        <f>$B$41*C55+B55</f>
        <v>21647752.149255939</v>
      </c>
      <c r="E55" s="75">
        <f>(D55/B55)^(1/E25)-1</f>
        <v>0.45692855607598304</v>
      </c>
    </row>
    <row r="56" spans="1:6" x14ac:dyDescent="0.2">
      <c r="A56" s="28" t="s">
        <v>83</v>
      </c>
      <c r="B56" s="94">
        <f>F22</f>
        <v>8500000</v>
      </c>
      <c r="C56" s="100">
        <f>F33</f>
        <v>177648.99294218025</v>
      </c>
      <c r="D56" s="80">
        <f>$B$41*C56+B56</f>
        <v>19226392.857142862</v>
      </c>
      <c r="E56" s="75">
        <f>(D56/B56)^(1/F25)-1</f>
        <v>0.5039709343696015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Information</vt:lpstr>
      <vt:lpstr>Q1&amp;Q2&amp;Q3</vt:lpstr>
      <vt:lpstr>Q4</vt:lpstr>
      <vt:lpstr>Q4 (2)</vt:lpstr>
      <vt:lpstr>Q5</vt:lpstr>
      <vt:lpstr>Q6</vt:lpstr>
      <vt:lpstr>Information!Print_Area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SHAO, Heyan</dc:creator>
  <cp:lastModifiedBy>SHAO, Heyan</cp:lastModifiedBy>
  <dcterms:created xsi:type="dcterms:W3CDTF">2025-03-27T01:21:55Z</dcterms:created>
  <dcterms:modified xsi:type="dcterms:W3CDTF">2025-05-02T15:04:26Z</dcterms:modified>
</cp:coreProperties>
</file>